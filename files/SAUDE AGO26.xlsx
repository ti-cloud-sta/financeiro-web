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joeder-blanca\Documents\projetos-joe\git\colab\financeiro-web\files\"/>
    </mc:Choice>
  </mc:AlternateContent>
  <xr:revisionPtr revIDLastSave="0" documentId="8_{F5E16152-8979-419D-B887-5B67B4DBA914}" xr6:coauthVersionLast="47" xr6:coauthVersionMax="47" xr10:uidLastSave="{00000000-0000-0000-0000-000000000000}"/>
  <bookViews>
    <workbookView xWindow="-108" yWindow="-108" windowWidth="30936" windowHeight="18696" activeTab="2" xr2:uid="{00000000-000D-0000-FFFF-FFFF00000000}"/>
  </bookViews>
  <sheets>
    <sheet name="PLANO DE SAÚDE" sheetId="1" r:id="rId1"/>
    <sheet name="Consolidado" sheetId="9" r:id="rId2"/>
    <sheet name="SAUDE AGO2026" sheetId="7" r:id="rId3"/>
    <sheet name="SAUDE" sheetId="8" r:id="rId4"/>
    <sheet name="RAZAO" sheetId="10" r:id="rId5"/>
    <sheet name="Plan2" sheetId="5" state="hidden" r:id="rId6"/>
    <sheet name="Plan4" sheetId="6" state="hidden" r:id="rId7"/>
  </sheets>
  <definedNames>
    <definedName name="_xlnm._FilterDatabase" localSheetId="1" hidden="1">Consolidado!$A$2:$N$222</definedName>
    <definedName name="_xlnm._FilterDatabase" localSheetId="0" hidden="1">'PLANO DE SAÚDE'!$A$3:$O$211</definedName>
    <definedName name="_xlnm._FilterDatabase" localSheetId="4" hidden="1">RAZAO!$A$20:$T$38</definedName>
    <definedName name="_xlnm._FilterDatabase" localSheetId="2" hidden="1">'SAUDE AGO2026'!$A$1:$AL$1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K108" i="1"/>
  <c r="M108" i="1" s="1"/>
  <c r="O108" i="1" s="1"/>
  <c r="K107" i="1"/>
  <c r="M107" i="1" s="1"/>
  <c r="O107" i="1" s="1"/>
  <c r="M210" i="9"/>
  <c r="N210" i="9"/>
  <c r="M208" i="9"/>
  <c r="N208" i="9"/>
  <c r="H13" i="10" l="1"/>
  <c r="N116" i="9" l="1"/>
  <c r="M116" i="9"/>
  <c r="N115" i="9"/>
  <c r="M115" i="9"/>
  <c r="W208" i="7"/>
  <c r="W2" i="7"/>
  <c r="W3" i="7"/>
  <c r="W4" i="7"/>
  <c r="W5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59" i="7"/>
  <c r="W160" i="7"/>
  <c r="W161" i="7"/>
  <c r="W162" i="7"/>
  <c r="W163" i="7"/>
  <c r="W164" i="7"/>
  <c r="W165" i="7"/>
  <c r="W166" i="7"/>
  <c r="W167" i="7"/>
  <c r="W168" i="7"/>
  <c r="W169" i="7"/>
  <c r="W170" i="7"/>
  <c r="W171" i="7"/>
  <c r="W172" i="7"/>
  <c r="W173" i="7"/>
  <c r="W174" i="7"/>
  <c r="W175" i="7"/>
  <c r="W176" i="7"/>
  <c r="W177" i="7"/>
  <c r="W178" i="7"/>
  <c r="W179" i="7"/>
  <c r="W180" i="7"/>
  <c r="W181" i="7"/>
  <c r="W182" i="7"/>
  <c r="W183" i="7"/>
  <c r="W184" i="7"/>
  <c r="W185" i="7"/>
  <c r="W186" i="7"/>
  <c r="W187" i="7"/>
  <c r="W188" i="7"/>
  <c r="W189" i="7"/>
  <c r="W190" i="7"/>
  <c r="W191" i="7"/>
  <c r="W192" i="7"/>
  <c r="W193" i="7"/>
  <c r="W194" i="7"/>
  <c r="W195" i="7"/>
  <c r="W196" i="7"/>
  <c r="W197" i="7"/>
  <c r="W198" i="7"/>
  <c r="W199" i="7"/>
  <c r="W200" i="7"/>
  <c r="W201" i="7"/>
  <c r="W202" i="7"/>
  <c r="W203" i="7"/>
  <c r="W204" i="7"/>
  <c r="W205" i="7"/>
  <c r="W206" i="7"/>
  <c r="W207" i="7"/>
  <c r="K211" i="1"/>
  <c r="K210" i="1"/>
  <c r="K209" i="1"/>
  <c r="N209" i="1" s="1"/>
  <c r="K208" i="1"/>
  <c r="N208" i="1" s="1"/>
  <c r="K207" i="1"/>
  <c r="K206" i="1"/>
  <c r="K205" i="1"/>
  <c r="N205" i="1" s="1"/>
  <c r="K204" i="1"/>
  <c r="M204" i="1" s="1"/>
  <c r="K203" i="1"/>
  <c r="K202" i="1"/>
  <c r="K201" i="1"/>
  <c r="K200" i="1"/>
  <c r="K199" i="1"/>
  <c r="N199" i="1" s="1"/>
  <c r="K198" i="1"/>
  <c r="M198" i="1" s="1"/>
  <c r="K197" i="1"/>
  <c r="K196" i="1"/>
  <c r="K195" i="1"/>
  <c r="K4" i="1"/>
  <c r="M4" i="1" s="1"/>
  <c r="K5" i="1"/>
  <c r="K6" i="1"/>
  <c r="K7" i="1"/>
  <c r="K8" i="1"/>
  <c r="M8" i="1" s="1"/>
  <c r="K9" i="1"/>
  <c r="M9" i="1" s="1"/>
  <c r="K10" i="1"/>
  <c r="K11" i="1"/>
  <c r="K12" i="1"/>
  <c r="K13" i="1"/>
  <c r="K14" i="1"/>
  <c r="K15" i="1"/>
  <c r="K16" i="1"/>
  <c r="M16" i="1" s="1"/>
  <c r="K17" i="1"/>
  <c r="M17" i="1" s="1"/>
  <c r="K18" i="1"/>
  <c r="K19" i="1"/>
  <c r="K20" i="1"/>
  <c r="K21" i="1"/>
  <c r="K22" i="1"/>
  <c r="K23" i="1"/>
  <c r="K24" i="1"/>
  <c r="M24" i="1" s="1"/>
  <c r="K25" i="1"/>
  <c r="M25" i="1" s="1"/>
  <c r="K26" i="1"/>
  <c r="K27" i="1"/>
  <c r="K28" i="1"/>
  <c r="K29" i="1"/>
  <c r="K30" i="1"/>
  <c r="K31" i="1"/>
  <c r="K32" i="1"/>
  <c r="M32" i="1" s="1"/>
  <c r="K33" i="1"/>
  <c r="M33" i="1" s="1"/>
  <c r="K34" i="1"/>
  <c r="K35" i="1"/>
  <c r="K36" i="1"/>
  <c r="K37" i="1"/>
  <c r="K38" i="1"/>
  <c r="K39" i="1"/>
  <c r="K40" i="1"/>
  <c r="M40" i="1" s="1"/>
  <c r="K41" i="1"/>
  <c r="M41" i="1" s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M54" i="1" s="1"/>
  <c r="K55" i="1"/>
  <c r="M55" i="1" s="1"/>
  <c r="K56" i="1"/>
  <c r="K57" i="1"/>
  <c r="K58" i="1"/>
  <c r="K59" i="1"/>
  <c r="K60" i="1"/>
  <c r="K61" i="1"/>
  <c r="K62" i="1"/>
  <c r="M62" i="1" s="1"/>
  <c r="K63" i="1"/>
  <c r="N63" i="1" s="1"/>
  <c r="K64" i="1"/>
  <c r="K65" i="1"/>
  <c r="K66" i="1"/>
  <c r="K67" i="1"/>
  <c r="K68" i="1"/>
  <c r="K69" i="1"/>
  <c r="K70" i="1"/>
  <c r="M70" i="1" s="1"/>
  <c r="K71" i="1"/>
  <c r="N71" i="1" s="1"/>
  <c r="K72" i="1"/>
  <c r="K73" i="1"/>
  <c r="K74" i="1"/>
  <c r="K75" i="1"/>
  <c r="K76" i="1"/>
  <c r="K77" i="1"/>
  <c r="K78" i="1"/>
  <c r="M78" i="1" s="1"/>
  <c r="K79" i="1"/>
  <c r="N79" i="1" s="1"/>
  <c r="K80" i="1"/>
  <c r="K81" i="1"/>
  <c r="K82" i="1"/>
  <c r="K83" i="1"/>
  <c r="K84" i="1"/>
  <c r="K85" i="1"/>
  <c r="K86" i="1"/>
  <c r="M86" i="1" s="1"/>
  <c r="K87" i="1"/>
  <c r="M87" i="1" s="1"/>
  <c r="K88" i="1"/>
  <c r="K89" i="1"/>
  <c r="K90" i="1"/>
  <c r="K91" i="1"/>
  <c r="K92" i="1"/>
  <c r="K93" i="1"/>
  <c r="K94" i="1"/>
  <c r="M94" i="1" s="1"/>
  <c r="K95" i="1"/>
  <c r="N95" i="1" s="1"/>
  <c r="K96" i="1"/>
  <c r="K97" i="1"/>
  <c r="K98" i="1"/>
  <c r="K99" i="1"/>
  <c r="K100" i="1"/>
  <c r="K101" i="1"/>
  <c r="K102" i="1"/>
  <c r="M102" i="1" s="1"/>
  <c r="K103" i="1"/>
  <c r="M103" i="1" s="1"/>
  <c r="K104" i="1"/>
  <c r="K105" i="1"/>
  <c r="K106" i="1"/>
  <c r="K109" i="1"/>
  <c r="K110" i="1"/>
  <c r="K111" i="1"/>
  <c r="K112" i="1"/>
  <c r="M112" i="1" s="1"/>
  <c r="K113" i="1"/>
  <c r="M113" i="1" s="1"/>
  <c r="K114" i="1"/>
  <c r="K115" i="1"/>
  <c r="K116" i="1"/>
  <c r="K117" i="1"/>
  <c r="K118" i="1"/>
  <c r="K119" i="1"/>
  <c r="K120" i="1"/>
  <c r="M120" i="1" s="1"/>
  <c r="K121" i="1"/>
  <c r="M121" i="1" s="1"/>
  <c r="K122" i="1"/>
  <c r="K123" i="1"/>
  <c r="K124" i="1"/>
  <c r="K125" i="1"/>
  <c r="K126" i="1"/>
  <c r="K127" i="1"/>
  <c r="K128" i="1"/>
  <c r="N128" i="1" s="1"/>
  <c r="K129" i="1"/>
  <c r="M129" i="1" s="1"/>
  <c r="K130" i="1"/>
  <c r="K131" i="1"/>
  <c r="K132" i="1"/>
  <c r="K133" i="1"/>
  <c r="K134" i="1"/>
  <c r="K135" i="1"/>
  <c r="M135" i="1" s="1"/>
  <c r="K136" i="1"/>
  <c r="K137" i="1"/>
  <c r="K138" i="1"/>
  <c r="K139" i="1"/>
  <c r="K140" i="1"/>
  <c r="K141" i="1"/>
  <c r="K142" i="1"/>
  <c r="M142" i="1" s="1"/>
  <c r="K143" i="1"/>
  <c r="K144" i="1"/>
  <c r="K145" i="1"/>
  <c r="K146" i="1"/>
  <c r="K147" i="1"/>
  <c r="N147" i="1" s="1"/>
  <c r="K148" i="1"/>
  <c r="N148" i="1" s="1"/>
  <c r="K149" i="1"/>
  <c r="K150" i="1"/>
  <c r="K151" i="1"/>
  <c r="K152" i="1"/>
  <c r="K153" i="1"/>
  <c r="K154" i="1"/>
  <c r="K155" i="1"/>
  <c r="N155" i="1" s="1"/>
  <c r="K156" i="1"/>
  <c r="N156" i="1" s="1"/>
  <c r="K157" i="1"/>
  <c r="K158" i="1"/>
  <c r="K159" i="1"/>
  <c r="K160" i="1"/>
  <c r="K161" i="1"/>
  <c r="K162" i="1"/>
  <c r="K163" i="1"/>
  <c r="N163" i="1" s="1"/>
  <c r="K164" i="1"/>
  <c r="M164" i="1" s="1"/>
  <c r="K165" i="1"/>
  <c r="K166" i="1"/>
  <c r="K167" i="1"/>
  <c r="K168" i="1"/>
  <c r="K169" i="1"/>
  <c r="K170" i="1"/>
  <c r="N170" i="1" s="1"/>
  <c r="K171" i="1"/>
  <c r="M171" i="1" s="1"/>
  <c r="K172" i="1"/>
  <c r="K173" i="1"/>
  <c r="K174" i="1"/>
  <c r="K175" i="1"/>
  <c r="K176" i="1"/>
  <c r="K177" i="1"/>
  <c r="K178" i="1"/>
  <c r="N178" i="1" s="1"/>
  <c r="K179" i="1"/>
  <c r="M179" i="1" s="1"/>
  <c r="K180" i="1"/>
  <c r="K181" i="1"/>
  <c r="K182" i="1"/>
  <c r="K183" i="1"/>
  <c r="K184" i="1"/>
  <c r="K185" i="1"/>
  <c r="K186" i="1"/>
  <c r="N186" i="1" s="1"/>
  <c r="K187" i="1"/>
  <c r="M187" i="1" s="1"/>
  <c r="K188" i="1"/>
  <c r="K189" i="1"/>
  <c r="K190" i="1"/>
  <c r="K191" i="1"/>
  <c r="K192" i="1"/>
  <c r="K193" i="1"/>
  <c r="K194" i="1"/>
  <c r="N194" i="1" s="1"/>
  <c r="N212" i="9"/>
  <c r="M212" i="9"/>
  <c r="N204" i="9"/>
  <c r="M204" i="9"/>
  <c r="N114" i="9"/>
  <c r="M114" i="9"/>
  <c r="N113" i="9"/>
  <c r="M113" i="9"/>
  <c r="N112" i="9"/>
  <c r="M112" i="9"/>
  <c r="N46" i="9"/>
  <c r="M46" i="9"/>
  <c r="N45" i="9"/>
  <c r="M45" i="9"/>
  <c r="N44" i="9"/>
  <c r="M44" i="9"/>
  <c r="N43" i="9"/>
  <c r="M43" i="9"/>
  <c r="N42" i="9"/>
  <c r="M42" i="9"/>
  <c r="N41" i="9"/>
  <c r="M41" i="9"/>
  <c r="M125" i="1" l="1"/>
  <c r="N75" i="1"/>
  <c r="M37" i="1"/>
  <c r="M197" i="1"/>
  <c r="M167" i="1"/>
  <c r="M116" i="1"/>
  <c r="M66" i="1"/>
  <c r="M12" i="1"/>
  <c r="M150" i="1"/>
  <c r="M115" i="1"/>
  <c r="M97" i="1"/>
  <c r="M81" i="1"/>
  <c r="M57" i="1"/>
  <c r="M43" i="1"/>
  <c r="N27" i="1"/>
  <c r="N11" i="1"/>
  <c r="M191" i="1"/>
  <c r="M99" i="1"/>
  <c r="M59" i="1"/>
  <c r="M29" i="1"/>
  <c r="M210" i="1"/>
  <c r="M151" i="1"/>
  <c r="M106" i="1"/>
  <c r="M58" i="1"/>
  <c r="M166" i="1"/>
  <c r="N137" i="1"/>
  <c r="M105" i="1"/>
  <c r="M89" i="1"/>
  <c r="M73" i="1"/>
  <c r="M65" i="1"/>
  <c r="M49" i="1"/>
  <c r="N35" i="1"/>
  <c r="M19" i="1"/>
  <c r="N198" i="1"/>
  <c r="M188" i="1"/>
  <c r="M180" i="1"/>
  <c r="M172" i="1"/>
  <c r="M165" i="1"/>
  <c r="M157" i="1"/>
  <c r="M149" i="1"/>
  <c r="N143" i="1"/>
  <c r="M136" i="1"/>
  <c r="M130" i="1"/>
  <c r="M122" i="1"/>
  <c r="M114" i="1"/>
  <c r="M104" i="1"/>
  <c r="N96" i="1"/>
  <c r="N88" i="1"/>
  <c r="M80" i="1"/>
  <c r="M72" i="1"/>
  <c r="M64" i="1"/>
  <c r="N56" i="1"/>
  <c r="M48" i="1"/>
  <c r="M42" i="1"/>
  <c r="M34" i="1"/>
  <c r="M26" i="1"/>
  <c r="M18" i="1"/>
  <c r="M10" i="1"/>
  <c r="M206" i="1"/>
  <c r="M183" i="1"/>
  <c r="M139" i="1"/>
  <c r="M91" i="1"/>
  <c r="M45" i="1"/>
  <c r="M13" i="1"/>
  <c r="N174" i="1"/>
  <c r="M124" i="1"/>
  <c r="M74" i="1"/>
  <c r="M28" i="1"/>
  <c r="N211" i="1"/>
  <c r="M158" i="1"/>
  <c r="M123" i="1"/>
  <c r="M200" i="1"/>
  <c r="M207" i="1"/>
  <c r="N152" i="1"/>
  <c r="M117" i="1"/>
  <c r="N67" i="1"/>
  <c r="M21" i="1"/>
  <c r="N182" i="1"/>
  <c r="N132" i="1"/>
  <c r="M82" i="1"/>
  <c r="M36" i="1"/>
  <c r="O198" i="1"/>
  <c r="M173" i="1"/>
  <c r="M131" i="1"/>
  <c r="M195" i="1"/>
  <c r="N200" i="1"/>
  <c r="M208" i="1"/>
  <c r="M175" i="1"/>
  <c r="M133" i="1"/>
  <c r="N83" i="1"/>
  <c r="M5" i="1"/>
  <c r="N190" i="1"/>
  <c r="M145" i="1"/>
  <c r="M98" i="1"/>
  <c r="M50" i="1"/>
  <c r="M20" i="1"/>
  <c r="M189" i="1"/>
  <c r="N185" i="1"/>
  <c r="N177" i="1"/>
  <c r="N169" i="1"/>
  <c r="M162" i="1"/>
  <c r="M154" i="1"/>
  <c r="M146" i="1"/>
  <c r="N141" i="1"/>
  <c r="M127" i="1"/>
  <c r="M119" i="1"/>
  <c r="M111" i="1"/>
  <c r="M101" i="1"/>
  <c r="M93" i="1"/>
  <c r="M85" i="1"/>
  <c r="M77" i="1"/>
  <c r="M69" i="1"/>
  <c r="M61" i="1"/>
  <c r="M53" i="1"/>
  <c r="M47" i="1"/>
  <c r="M39" i="1"/>
  <c r="M31" i="1"/>
  <c r="M23" i="1"/>
  <c r="M15" i="1"/>
  <c r="M7" i="1"/>
  <c r="N196" i="1"/>
  <c r="M201" i="1"/>
  <c r="N160" i="1"/>
  <c r="M109" i="1"/>
  <c r="M51" i="1"/>
  <c r="N203" i="1"/>
  <c r="M159" i="1"/>
  <c r="M138" i="1"/>
  <c r="M90" i="1"/>
  <c r="M44" i="1"/>
  <c r="O204" i="1"/>
  <c r="M181" i="1"/>
  <c r="M144" i="1"/>
  <c r="N193" i="1"/>
  <c r="M192" i="1"/>
  <c r="M184" i="1"/>
  <c r="M176" i="1"/>
  <c r="M168" i="1"/>
  <c r="M161" i="1"/>
  <c r="M153" i="1"/>
  <c r="M140" i="1"/>
  <c r="M134" i="1"/>
  <c r="M126" i="1"/>
  <c r="M118" i="1"/>
  <c r="M110" i="1"/>
  <c r="M100" i="1"/>
  <c r="M92" i="1"/>
  <c r="M84" i="1"/>
  <c r="M76" i="1"/>
  <c r="M68" i="1"/>
  <c r="M60" i="1"/>
  <c r="M52" i="1"/>
  <c r="M46" i="1"/>
  <c r="M38" i="1"/>
  <c r="M30" i="1"/>
  <c r="M22" i="1"/>
  <c r="M14" i="1"/>
  <c r="M6" i="1"/>
  <c r="M202" i="1"/>
  <c r="N204" i="1"/>
  <c r="N195" i="1"/>
  <c r="N210" i="1"/>
  <c r="N206" i="1"/>
  <c r="M211" i="1"/>
  <c r="N202" i="1"/>
  <c r="M196" i="1"/>
  <c r="M199" i="1"/>
  <c r="M203" i="1"/>
  <c r="M205" i="1"/>
  <c r="M209" i="1"/>
  <c r="N197" i="1"/>
  <c r="N201" i="1"/>
  <c r="N207" i="1"/>
  <c r="N129" i="1"/>
  <c r="N114" i="1"/>
  <c r="N43" i="1"/>
  <c r="N18" i="1"/>
  <c r="N8" i="1"/>
  <c r="N179" i="1"/>
  <c r="N31" i="1"/>
  <c r="M11" i="1"/>
  <c r="M56" i="1"/>
  <c r="N22" i="1"/>
  <c r="N16" i="1"/>
  <c r="N91" i="1"/>
  <c r="M141" i="1"/>
  <c r="N47" i="1"/>
  <c r="N42" i="1"/>
  <c r="N7" i="1"/>
  <c r="M95" i="1"/>
  <c r="N40" i="1"/>
  <c r="M27" i="1"/>
  <c r="N15" i="1"/>
  <c r="N10" i="1"/>
  <c r="N110" i="1"/>
  <c r="M79" i="1"/>
  <c r="N39" i="1"/>
  <c r="M83" i="1"/>
  <c r="N48" i="1"/>
  <c r="N34" i="1"/>
  <c r="N38" i="1"/>
  <c r="N6" i="1"/>
  <c r="M152" i="1"/>
  <c r="N64" i="1"/>
  <c r="N19" i="1"/>
  <c r="N30" i="1"/>
  <c r="N24" i="1"/>
  <c r="M128" i="1"/>
  <c r="M63" i="1"/>
  <c r="M182" i="1"/>
  <c r="N165" i="1"/>
  <c r="N125" i="1"/>
  <c r="N60" i="1"/>
  <c r="M35" i="1"/>
  <c r="N26" i="1"/>
  <c r="N187" i="1"/>
  <c r="M174" i="1"/>
  <c r="N104" i="1"/>
  <c r="N99" i="1"/>
  <c r="M88" i="1"/>
  <c r="N121" i="1"/>
  <c r="N103" i="1"/>
  <c r="N92" i="1"/>
  <c r="N87" i="1"/>
  <c r="N46" i="1"/>
  <c r="N32" i="1"/>
  <c r="N23" i="1"/>
  <c r="N14" i="1"/>
  <c r="M190" i="1"/>
  <c r="N171" i="1"/>
  <c r="M160" i="1"/>
  <c r="M132" i="1"/>
  <c r="N109" i="1"/>
  <c r="M67" i="1"/>
  <c r="N164" i="1"/>
  <c r="M194" i="1"/>
  <c r="M186" i="1"/>
  <c r="M178" i="1"/>
  <c r="M170" i="1"/>
  <c r="M156" i="1"/>
  <c r="M148" i="1"/>
  <c r="M137" i="1"/>
  <c r="N100" i="1"/>
  <c r="M96" i="1"/>
  <c r="M75" i="1"/>
  <c r="M71" i="1"/>
  <c r="M193" i="1"/>
  <c r="M185" i="1"/>
  <c r="M177" i="1"/>
  <c r="M169" i="1"/>
  <c r="M163" i="1"/>
  <c r="M155" i="1"/>
  <c r="M147" i="1"/>
  <c r="M143" i="1"/>
  <c r="N117" i="1"/>
  <c r="N52" i="1"/>
  <c r="N133" i="1"/>
  <c r="N113" i="1"/>
  <c r="N72" i="1"/>
  <c r="N68" i="1"/>
  <c r="N51" i="1"/>
  <c r="N183" i="1"/>
  <c r="N175" i="1"/>
  <c r="N161" i="1"/>
  <c r="N157" i="1"/>
  <c r="N153" i="1"/>
  <c r="N149" i="1"/>
  <c r="N144" i="1"/>
  <c r="N138" i="1"/>
  <c r="N124" i="1"/>
  <c r="N120" i="1"/>
  <c r="N80" i="1"/>
  <c r="N76" i="1"/>
  <c r="N59" i="1"/>
  <c r="N55" i="1"/>
  <c r="N191" i="1"/>
  <c r="N84" i="1"/>
  <c r="N180" i="1"/>
  <c r="N172" i="1"/>
  <c r="N166" i="1"/>
  <c r="N158" i="1"/>
  <c r="N150" i="1"/>
  <c r="N145" i="1"/>
  <c r="N139" i="1"/>
  <c r="N134" i="1"/>
  <c r="N126" i="1"/>
  <c r="N118" i="1"/>
  <c r="N111" i="1"/>
  <c r="N101" i="1"/>
  <c r="N93" i="1"/>
  <c r="N85" i="1"/>
  <c r="N77" i="1"/>
  <c r="N69" i="1"/>
  <c r="N61" i="1"/>
  <c r="N53" i="1"/>
  <c r="N188" i="1"/>
  <c r="N136" i="1"/>
  <c r="N131" i="1"/>
  <c r="N123" i="1"/>
  <c r="N116" i="1"/>
  <c r="N106" i="1"/>
  <c r="N98" i="1"/>
  <c r="N90" i="1"/>
  <c r="N82" i="1"/>
  <c r="N74" i="1"/>
  <c r="N66" i="1"/>
  <c r="N58" i="1"/>
  <c r="N50" i="1"/>
  <c r="N45" i="1"/>
  <c r="N37" i="1"/>
  <c r="N29" i="1"/>
  <c r="N21" i="1"/>
  <c r="N13" i="1"/>
  <c r="N5" i="1"/>
  <c r="N192" i="1"/>
  <c r="N184" i="1"/>
  <c r="N176" i="1"/>
  <c r="N168" i="1"/>
  <c r="N162" i="1"/>
  <c r="N154" i="1"/>
  <c r="N146" i="1"/>
  <c r="N142" i="1"/>
  <c r="N135" i="1"/>
  <c r="N130" i="1"/>
  <c r="N122" i="1"/>
  <c r="N115" i="1"/>
  <c r="N105" i="1"/>
  <c r="N97" i="1"/>
  <c r="N89" i="1"/>
  <c r="N81" i="1"/>
  <c r="N73" i="1"/>
  <c r="N65" i="1"/>
  <c r="N57" i="1"/>
  <c r="N49" i="1"/>
  <c r="N44" i="1"/>
  <c r="N36" i="1"/>
  <c r="N28" i="1"/>
  <c r="N20" i="1"/>
  <c r="N12" i="1"/>
  <c r="N4" i="1"/>
  <c r="N189" i="1"/>
  <c r="N181" i="1"/>
  <c r="N173" i="1"/>
  <c r="N167" i="1"/>
  <c r="N159" i="1"/>
  <c r="N151" i="1"/>
  <c r="N140" i="1"/>
  <c r="N127" i="1"/>
  <c r="N119" i="1"/>
  <c r="N112" i="1"/>
  <c r="N102" i="1"/>
  <c r="N94" i="1"/>
  <c r="N86" i="1"/>
  <c r="N78" i="1"/>
  <c r="N70" i="1"/>
  <c r="N62" i="1"/>
  <c r="N54" i="1"/>
  <c r="N41" i="1"/>
  <c r="N33" i="1"/>
  <c r="N25" i="1"/>
  <c r="N17" i="1"/>
  <c r="N9" i="1"/>
  <c r="O173" i="1"/>
  <c r="O136" i="1"/>
  <c r="O129" i="1"/>
  <c r="O102" i="1"/>
  <c r="O86" i="1"/>
  <c r="O70" i="1"/>
  <c r="O58" i="1"/>
  <c r="O54" i="1"/>
  <c r="O41" i="1"/>
  <c r="O32" i="1"/>
  <c r="O29" i="1"/>
  <c r="O25" i="1"/>
  <c r="O16" i="1"/>
  <c r="O9" i="1"/>
  <c r="N111" i="9"/>
  <c r="M111" i="9"/>
  <c r="N110" i="9"/>
  <c r="M110" i="9"/>
  <c r="N109" i="9"/>
  <c r="M109" i="9"/>
  <c r="N108" i="9"/>
  <c r="M108" i="9"/>
  <c r="N107" i="9"/>
  <c r="M107" i="9"/>
  <c r="N106" i="9"/>
  <c r="M106" i="9"/>
  <c r="N105" i="9"/>
  <c r="M105" i="9"/>
  <c r="N104" i="9"/>
  <c r="M104" i="9"/>
  <c r="N103" i="9"/>
  <c r="M103" i="9"/>
  <c r="N102" i="9"/>
  <c r="M102" i="9"/>
  <c r="N101" i="9"/>
  <c r="M101" i="9"/>
  <c r="N100" i="9"/>
  <c r="M100" i="9"/>
  <c r="N99" i="9"/>
  <c r="M99" i="9"/>
  <c r="N98" i="9"/>
  <c r="M98" i="9"/>
  <c r="N97" i="9"/>
  <c r="M97" i="9"/>
  <c r="N96" i="9"/>
  <c r="M96" i="9"/>
  <c r="N95" i="9"/>
  <c r="M95" i="9"/>
  <c r="N94" i="9"/>
  <c r="M94" i="9"/>
  <c r="N93" i="9"/>
  <c r="M93" i="9"/>
  <c r="N92" i="9"/>
  <c r="M92" i="9"/>
  <c r="N199" i="9"/>
  <c r="M199" i="9"/>
  <c r="N198" i="9"/>
  <c r="M198" i="9"/>
  <c r="N135" i="9"/>
  <c r="M135" i="9"/>
  <c r="N40" i="9"/>
  <c r="M40" i="9"/>
  <c r="N39" i="9"/>
  <c r="M39" i="9"/>
  <c r="N38" i="9"/>
  <c r="M38" i="9"/>
  <c r="O61" i="1" l="1"/>
  <c r="O13" i="1"/>
  <c r="O180" i="1"/>
  <c r="O119" i="1"/>
  <c r="O93" i="1"/>
  <c r="O51" i="1"/>
  <c r="O183" i="1"/>
  <c r="O22" i="1"/>
  <c r="O99" i="1"/>
  <c r="O189" i="1"/>
  <c r="O90" i="1"/>
  <c r="O132" i="1"/>
  <c r="O156" i="1"/>
  <c r="O106" i="1"/>
  <c r="O193" i="1"/>
  <c r="O195" i="1"/>
  <c r="O153" i="1"/>
  <c r="O209" i="1"/>
  <c r="O74" i="1"/>
  <c r="O123" i="1"/>
  <c r="O205" i="1"/>
  <c r="O211" i="1"/>
  <c r="O200" i="1"/>
  <c r="O210" i="1"/>
  <c r="O207" i="1"/>
  <c r="O38" i="1"/>
  <c r="O45" i="1"/>
  <c r="O203" i="1"/>
  <c r="O201" i="1"/>
  <c r="O159" i="1"/>
  <c r="O199" i="1"/>
  <c r="O202" i="1"/>
  <c r="O208" i="1"/>
  <c r="O6" i="1"/>
  <c r="O177" i="1"/>
  <c r="O67" i="1"/>
  <c r="O196" i="1"/>
  <c r="O206" i="1"/>
  <c r="O197" i="1"/>
  <c r="O186" i="1"/>
  <c r="O163" i="1"/>
  <c r="M3" i="1"/>
  <c r="O83" i="1"/>
  <c r="O170" i="1"/>
  <c r="O147" i="1"/>
  <c r="O42" i="1"/>
  <c r="O160" i="1"/>
  <c r="O87" i="1"/>
  <c r="O10" i="1"/>
  <c r="O55" i="1"/>
  <c r="O174" i="1"/>
  <c r="O103" i="1"/>
  <c r="O26" i="1"/>
  <c r="O71" i="1"/>
  <c r="O190" i="1"/>
  <c r="O120" i="1"/>
  <c r="O77" i="1"/>
  <c r="O19" i="1"/>
  <c r="O35" i="1"/>
  <c r="O48" i="1"/>
  <c r="O64" i="1"/>
  <c r="O80" i="1"/>
  <c r="O96" i="1"/>
  <c r="O114" i="1"/>
  <c r="O126" i="1"/>
  <c r="O166" i="1"/>
  <c r="O7" i="1"/>
  <c r="O20" i="1"/>
  <c r="O23" i="1"/>
  <c r="O36" i="1"/>
  <c r="O39" i="1"/>
  <c r="O49" i="1"/>
  <c r="O52" i="1"/>
  <c r="O65" i="1"/>
  <c r="O68" i="1"/>
  <c r="O81" i="1"/>
  <c r="O84" i="1"/>
  <c r="O97" i="1"/>
  <c r="O100" i="1"/>
  <c r="O115" i="1"/>
  <c r="O117" i="1"/>
  <c r="O130" i="1"/>
  <c r="O133" i="1"/>
  <c r="O142" i="1"/>
  <c r="O144" i="1"/>
  <c r="O154" i="1"/>
  <c r="O157" i="1"/>
  <c r="O168" i="1"/>
  <c r="O171" i="1"/>
  <c r="O184" i="1"/>
  <c r="O187" i="1"/>
  <c r="O139" i="1"/>
  <c r="O14" i="1"/>
  <c r="O17" i="1"/>
  <c r="O30" i="1"/>
  <c r="O33" i="1"/>
  <c r="O46" i="1"/>
  <c r="O59" i="1"/>
  <c r="O62" i="1"/>
  <c r="O75" i="1"/>
  <c r="O78" i="1"/>
  <c r="O91" i="1"/>
  <c r="O94" i="1"/>
  <c r="O109" i="1"/>
  <c r="O112" i="1"/>
  <c r="O124" i="1"/>
  <c r="O127" i="1"/>
  <c r="O137" i="1"/>
  <c r="O140" i="1"/>
  <c r="O148" i="1"/>
  <c r="O151" i="1"/>
  <c r="O164" i="1"/>
  <c r="O167" i="1"/>
  <c r="O178" i="1"/>
  <c r="O181" i="1"/>
  <c r="O194" i="1"/>
  <c r="O150" i="1"/>
  <c r="O11" i="1"/>
  <c r="O21" i="1"/>
  <c r="O27" i="1"/>
  <c r="O37" i="1"/>
  <c r="O43" i="1"/>
  <c r="O50" i="1"/>
  <c r="O56" i="1"/>
  <c r="O66" i="1"/>
  <c r="O72" i="1"/>
  <c r="O82" i="1"/>
  <c r="O88" i="1"/>
  <c r="O98" i="1"/>
  <c r="O104" i="1"/>
  <c r="O116" i="1"/>
  <c r="O121" i="1"/>
  <c r="O131" i="1"/>
  <c r="O143" i="1"/>
  <c r="O155" i="1"/>
  <c r="O161" i="1"/>
  <c r="O169" i="1"/>
  <c r="O175" i="1"/>
  <c r="O185" i="1"/>
  <c r="O191" i="1"/>
  <c r="O8" i="1"/>
  <c r="O18" i="1"/>
  <c r="O24" i="1"/>
  <c r="O34" i="1"/>
  <c r="O40" i="1"/>
  <c r="O53" i="1"/>
  <c r="O63" i="1"/>
  <c r="O69" i="1"/>
  <c r="O79" i="1"/>
  <c r="O85" i="1"/>
  <c r="O95" i="1"/>
  <c r="O101" i="1"/>
  <c r="O113" i="1"/>
  <c r="O118" i="1"/>
  <c r="O128" i="1"/>
  <c r="O134" i="1"/>
  <c r="O141" i="1"/>
  <c r="O145" i="1"/>
  <c r="O152" i="1"/>
  <c r="O158" i="1"/>
  <c r="O172" i="1"/>
  <c r="O182" i="1"/>
  <c r="O188" i="1"/>
  <c r="O111" i="1"/>
  <c r="O12" i="1"/>
  <c r="O15" i="1"/>
  <c r="O28" i="1"/>
  <c r="O31" i="1"/>
  <c r="O44" i="1"/>
  <c r="O47" i="1"/>
  <c r="O57" i="1"/>
  <c r="O60" i="1"/>
  <c r="O73" i="1"/>
  <c r="O76" i="1"/>
  <c r="O89" i="1"/>
  <c r="O92" i="1"/>
  <c r="O105" i="1"/>
  <c r="O110" i="1"/>
  <c r="O122" i="1"/>
  <c r="O125" i="1"/>
  <c r="O135" i="1"/>
  <c r="O138" i="1"/>
  <c r="O146" i="1"/>
  <c r="O149" i="1"/>
  <c r="O162" i="1"/>
  <c r="O165" i="1"/>
  <c r="O176" i="1"/>
  <c r="O179" i="1"/>
  <c r="O192" i="1"/>
  <c r="N171" i="9"/>
  <c r="M171" i="9"/>
  <c r="O5" i="1" l="1"/>
  <c r="N148" i="9"/>
  <c r="M148" i="9"/>
  <c r="N147" i="9"/>
  <c r="M147" i="9"/>
  <c r="N146" i="9"/>
  <c r="M146" i="9"/>
  <c r="M64" i="9" l="1"/>
  <c r="N64" i="9"/>
  <c r="M65" i="9"/>
  <c r="N65" i="9"/>
  <c r="M66" i="9"/>
  <c r="N66" i="9"/>
  <c r="M67" i="9"/>
  <c r="N67" i="9"/>
  <c r="M68" i="9"/>
  <c r="N68" i="9"/>
  <c r="M69" i="9"/>
  <c r="N69" i="9"/>
  <c r="M70" i="9"/>
  <c r="N70" i="9"/>
  <c r="M71" i="9"/>
  <c r="N71" i="9"/>
  <c r="M72" i="9"/>
  <c r="N72" i="9"/>
  <c r="M73" i="9"/>
  <c r="N73" i="9"/>
  <c r="M74" i="9"/>
  <c r="N74" i="9"/>
  <c r="M75" i="9"/>
  <c r="N75" i="9"/>
  <c r="M76" i="9"/>
  <c r="N76" i="9"/>
  <c r="M77" i="9"/>
  <c r="N77" i="9"/>
  <c r="M78" i="9"/>
  <c r="N78" i="9"/>
  <c r="M79" i="9"/>
  <c r="N79" i="9"/>
  <c r="M80" i="9"/>
  <c r="N80" i="9"/>
  <c r="M81" i="9"/>
  <c r="N81" i="9"/>
  <c r="M82" i="9"/>
  <c r="N82" i="9"/>
  <c r="M83" i="9"/>
  <c r="N83" i="9"/>
  <c r="M84" i="9"/>
  <c r="N84" i="9"/>
  <c r="M85" i="9"/>
  <c r="N85" i="9"/>
  <c r="M86" i="9"/>
  <c r="N86" i="9"/>
  <c r="M87" i="9"/>
  <c r="N87" i="9"/>
  <c r="M88" i="9"/>
  <c r="N88" i="9"/>
  <c r="M89" i="9"/>
  <c r="N89" i="9"/>
  <c r="M90" i="9"/>
  <c r="N90" i="9"/>
  <c r="M91" i="9"/>
  <c r="N91" i="9"/>
  <c r="N37" i="9"/>
  <c r="M37" i="9"/>
  <c r="N134" i="9" l="1"/>
  <c r="M134" i="9"/>
  <c r="N133" i="9"/>
  <c r="M133" i="9"/>
  <c r="G13" i="10" l="1"/>
  <c r="G14" i="10"/>
  <c r="G12" i="10" l="1"/>
  <c r="N143" i="9" l="1"/>
  <c r="M143" i="9"/>
  <c r="M214" i="9" l="1"/>
  <c r="N214" i="9"/>
  <c r="M216" i="9"/>
  <c r="N216" i="9"/>
  <c r="M217" i="9"/>
  <c r="N217" i="9"/>
  <c r="M218" i="9"/>
  <c r="N218" i="9"/>
  <c r="M219" i="9"/>
  <c r="N219" i="9"/>
  <c r="M220" i="9"/>
  <c r="N220" i="9"/>
  <c r="M221" i="9"/>
  <c r="N221" i="9"/>
  <c r="M222" i="9"/>
  <c r="N222" i="9"/>
  <c r="M173" i="9" l="1"/>
  <c r="N173" i="9"/>
  <c r="M174" i="9"/>
  <c r="N174" i="9"/>
  <c r="M175" i="9"/>
  <c r="N175" i="9"/>
  <c r="M176" i="9"/>
  <c r="N176" i="9"/>
  <c r="M177" i="9"/>
  <c r="N177" i="9"/>
  <c r="M178" i="9"/>
  <c r="N178" i="9"/>
  <c r="M179" i="9"/>
  <c r="N179" i="9"/>
  <c r="M180" i="9"/>
  <c r="N180" i="9"/>
  <c r="M181" i="9"/>
  <c r="N181" i="9"/>
  <c r="M182" i="9"/>
  <c r="N182" i="9"/>
  <c r="M183" i="9"/>
  <c r="N183" i="9"/>
  <c r="M184" i="9"/>
  <c r="N184" i="9"/>
  <c r="M185" i="9"/>
  <c r="N185" i="9"/>
  <c r="M186" i="9"/>
  <c r="N186" i="9"/>
  <c r="M187" i="9"/>
  <c r="N187" i="9"/>
  <c r="M188" i="9"/>
  <c r="N188" i="9"/>
  <c r="M189" i="9"/>
  <c r="N189" i="9"/>
  <c r="M190" i="9"/>
  <c r="N190" i="9"/>
  <c r="M191" i="9"/>
  <c r="N191" i="9"/>
  <c r="M192" i="9"/>
  <c r="N192" i="9"/>
  <c r="M193" i="9"/>
  <c r="N193" i="9"/>
  <c r="M194" i="9"/>
  <c r="N194" i="9"/>
  <c r="M195" i="9"/>
  <c r="N195" i="9"/>
  <c r="M196" i="9"/>
  <c r="N196" i="9"/>
  <c r="M197" i="9"/>
  <c r="N197" i="9"/>
  <c r="M203" i="9"/>
  <c r="N203" i="9"/>
  <c r="M206" i="9"/>
  <c r="N206" i="9"/>
  <c r="M207" i="9"/>
  <c r="N207" i="9"/>
  <c r="M209" i="9"/>
  <c r="N209" i="9"/>
  <c r="M211" i="9"/>
  <c r="N211" i="9"/>
  <c r="M145" i="9"/>
  <c r="N145" i="9"/>
  <c r="M150" i="9"/>
  <c r="N150" i="9"/>
  <c r="M151" i="9"/>
  <c r="N151" i="9"/>
  <c r="M152" i="9"/>
  <c r="N152" i="9"/>
  <c r="M153" i="9"/>
  <c r="N153" i="9"/>
  <c r="M154" i="9"/>
  <c r="N154" i="9"/>
  <c r="M155" i="9"/>
  <c r="N155" i="9"/>
  <c r="M156" i="9"/>
  <c r="N156" i="9"/>
  <c r="M157" i="9"/>
  <c r="N157" i="9"/>
  <c r="M158" i="9"/>
  <c r="N158" i="9"/>
  <c r="M159" i="9"/>
  <c r="N159" i="9"/>
  <c r="M160" i="9"/>
  <c r="N160" i="9"/>
  <c r="M161" i="9"/>
  <c r="N161" i="9"/>
  <c r="M162" i="9"/>
  <c r="N162" i="9"/>
  <c r="M163" i="9"/>
  <c r="N163" i="9"/>
  <c r="M164" i="9"/>
  <c r="N164" i="9"/>
  <c r="M165" i="9"/>
  <c r="N165" i="9"/>
  <c r="M166" i="9"/>
  <c r="N166" i="9"/>
  <c r="M167" i="9"/>
  <c r="N167" i="9"/>
  <c r="M168" i="9"/>
  <c r="N168" i="9"/>
  <c r="M169" i="9"/>
  <c r="N169" i="9"/>
  <c r="M170" i="9"/>
  <c r="N170" i="9"/>
  <c r="M131" i="9" l="1"/>
  <c r="N131" i="9"/>
  <c r="M132" i="9"/>
  <c r="N132" i="9"/>
  <c r="M137" i="9"/>
  <c r="N137" i="9"/>
  <c r="M138" i="9"/>
  <c r="N138" i="9"/>
  <c r="M139" i="9"/>
  <c r="N139" i="9"/>
  <c r="M140" i="9"/>
  <c r="N140" i="9"/>
  <c r="M141" i="9"/>
  <c r="N141" i="9"/>
  <c r="M142" i="9"/>
  <c r="N142" i="9"/>
  <c r="M129" i="9"/>
  <c r="N129" i="9"/>
  <c r="M130" i="9"/>
  <c r="N130" i="9"/>
  <c r="N128" i="9" l="1"/>
  <c r="M128" i="9"/>
  <c r="N127" i="9"/>
  <c r="M127" i="9"/>
  <c r="N126" i="9"/>
  <c r="M126" i="9"/>
  <c r="N125" i="9"/>
  <c r="M125" i="9"/>
  <c r="N124" i="9"/>
  <c r="M124" i="9"/>
  <c r="N123" i="9"/>
  <c r="M123" i="9"/>
  <c r="N122" i="9"/>
  <c r="M122" i="9"/>
  <c r="N121" i="9"/>
  <c r="M121" i="9"/>
  <c r="N120" i="9"/>
  <c r="M120" i="9"/>
  <c r="N119" i="9"/>
  <c r="M119" i="9"/>
  <c r="N118" i="9"/>
  <c r="M118" i="9"/>
  <c r="N63" i="9"/>
  <c r="M63" i="9"/>
  <c r="N62" i="9"/>
  <c r="M62" i="9"/>
  <c r="N61" i="9"/>
  <c r="M61" i="9"/>
  <c r="N60" i="9"/>
  <c r="M60" i="9"/>
  <c r="N59" i="9"/>
  <c r="M59" i="9"/>
  <c r="N58" i="9"/>
  <c r="M58" i="9"/>
  <c r="N57" i="9"/>
  <c r="M57" i="9"/>
  <c r="N56" i="9"/>
  <c r="M56" i="9"/>
  <c r="N55" i="9"/>
  <c r="M55" i="9"/>
  <c r="N54" i="9"/>
  <c r="M54" i="9"/>
  <c r="N53" i="9"/>
  <c r="M53" i="9"/>
  <c r="N52" i="9"/>
  <c r="M52" i="9"/>
  <c r="N51" i="9"/>
  <c r="M51" i="9"/>
  <c r="N50" i="9"/>
  <c r="M50" i="9"/>
  <c r="N49" i="9"/>
  <c r="M49" i="9"/>
  <c r="N48" i="9"/>
  <c r="M48" i="9"/>
  <c r="N36" i="9"/>
  <c r="M36" i="9"/>
  <c r="N35" i="9"/>
  <c r="M35" i="9"/>
  <c r="N34" i="9"/>
  <c r="M34" i="9"/>
  <c r="N33" i="9"/>
  <c r="M33" i="9"/>
  <c r="N32" i="9"/>
  <c r="M32" i="9"/>
  <c r="N31" i="9"/>
  <c r="M31" i="9"/>
  <c r="N30" i="9"/>
  <c r="M30" i="9"/>
  <c r="N29" i="9"/>
  <c r="M29" i="9"/>
  <c r="N28" i="9"/>
  <c r="M28" i="9"/>
  <c r="N27" i="9"/>
  <c r="M27" i="9"/>
  <c r="N26" i="9"/>
  <c r="M26" i="9"/>
  <c r="N25" i="9"/>
  <c r="M25" i="9"/>
  <c r="N24" i="9"/>
  <c r="M24" i="9"/>
  <c r="N23" i="9"/>
  <c r="M23" i="9"/>
  <c r="N22" i="9"/>
  <c r="M22" i="9"/>
  <c r="N21" i="9"/>
  <c r="M21" i="9"/>
  <c r="N20" i="9"/>
  <c r="M20" i="9"/>
  <c r="N19" i="9"/>
  <c r="M19" i="9"/>
  <c r="N18" i="9"/>
  <c r="M18" i="9"/>
  <c r="N17" i="9"/>
  <c r="M17" i="9"/>
  <c r="N16" i="9"/>
  <c r="M16" i="9"/>
  <c r="N15" i="9"/>
  <c r="M15" i="9"/>
  <c r="N14" i="9"/>
  <c r="M14" i="9"/>
  <c r="N13" i="9"/>
  <c r="M13" i="9"/>
  <c r="N12" i="9"/>
  <c r="M12" i="9"/>
  <c r="N11" i="9"/>
  <c r="M11" i="9"/>
  <c r="N10" i="9"/>
  <c r="M10" i="9"/>
  <c r="N9" i="9"/>
  <c r="M9" i="9"/>
  <c r="N8" i="9"/>
  <c r="M8" i="9"/>
  <c r="N7" i="9"/>
  <c r="M7" i="9"/>
  <c r="N6" i="9"/>
  <c r="M6" i="9"/>
  <c r="N5" i="9"/>
  <c r="M5" i="9"/>
  <c r="N4" i="9"/>
  <c r="M4" i="9"/>
  <c r="N3" i="9" l="1"/>
  <c r="M3" i="9"/>
  <c r="V2" i="7" l="1"/>
  <c r="V3" i="7" s="1"/>
  <c r="V4" i="7" s="1"/>
  <c r="V5" i="7" s="1"/>
  <c r="V6" i="7" s="1"/>
  <c r="V7" i="7" s="1"/>
  <c r="V8" i="7" s="1"/>
  <c r="V9" i="7" s="1"/>
  <c r="V10" i="7" s="1"/>
  <c r="V11" i="7" s="1"/>
  <c r="V12" i="7" s="1"/>
  <c r="V13" i="7" s="1"/>
  <c r="V14" i="7" s="1"/>
  <c r="V15" i="7" s="1"/>
  <c r="V16" i="7" s="1"/>
  <c r="V17" i="7" s="1"/>
  <c r="V18" i="7" s="1"/>
  <c r="V19" i="7" s="1"/>
  <c r="V20" i="7" s="1"/>
  <c r="V21" i="7" s="1"/>
  <c r="V22" i="7" s="1"/>
  <c r="V23" i="7" s="1"/>
  <c r="V24" i="7" s="1"/>
  <c r="V25" i="7" s="1"/>
  <c r="V26" i="7" s="1"/>
  <c r="V27" i="7" s="1"/>
  <c r="V28" i="7" s="1"/>
  <c r="V29" i="7" s="1"/>
  <c r="V30" i="7" s="1"/>
  <c r="V31" i="7" s="1"/>
  <c r="V32" i="7" s="1"/>
  <c r="V33" i="7" s="1"/>
  <c r="V34" i="7" s="1"/>
  <c r="V35" i="7" s="1"/>
  <c r="V36" i="7" s="1"/>
  <c r="V37" i="7" s="1"/>
  <c r="V38" i="7" s="1"/>
  <c r="V39" i="7" s="1"/>
  <c r="V40" i="7" s="1"/>
  <c r="V41" i="7" s="1"/>
  <c r="V42" i="7" s="1"/>
  <c r="V43" i="7" s="1"/>
  <c r="V44" i="7" s="1"/>
  <c r="V45" i="7" s="1"/>
  <c r="V46" i="7" s="1"/>
  <c r="V47" i="7" s="1"/>
  <c r="V48" i="7" s="1"/>
  <c r="V49" i="7" s="1"/>
  <c r="V50" i="7" s="1"/>
  <c r="V51" i="7" s="1"/>
  <c r="V52" i="7" s="1"/>
  <c r="V53" i="7" s="1"/>
  <c r="V54" i="7" s="1"/>
  <c r="V55" i="7" s="1"/>
  <c r="V56" i="7" s="1"/>
  <c r="V57" i="7" s="1"/>
  <c r="V58" i="7" s="1"/>
  <c r="V59" i="7" s="1"/>
  <c r="V60" i="7" s="1"/>
  <c r="V61" i="7" s="1"/>
  <c r="V62" i="7" s="1"/>
  <c r="V63" i="7" s="1"/>
  <c r="V64" i="7" s="1"/>
  <c r="V65" i="7" s="1"/>
  <c r="V66" i="7" s="1"/>
  <c r="V67" i="7" s="1"/>
  <c r="V68" i="7" s="1"/>
  <c r="V69" i="7" s="1"/>
  <c r="V70" i="7" s="1"/>
  <c r="V71" i="7" s="1"/>
  <c r="V72" i="7" s="1"/>
  <c r="V73" i="7" s="1"/>
  <c r="V74" i="7" s="1"/>
  <c r="V75" i="7" s="1"/>
  <c r="V76" i="7" s="1"/>
  <c r="V77" i="7" s="1"/>
  <c r="V78" i="7" s="1"/>
  <c r="V79" i="7" s="1"/>
  <c r="V80" i="7" s="1"/>
  <c r="V81" i="7" s="1"/>
  <c r="V82" i="7" s="1"/>
  <c r="V83" i="7" s="1"/>
  <c r="V84" i="7" s="1"/>
  <c r="V85" i="7" s="1"/>
  <c r="V86" i="7" s="1"/>
  <c r="V87" i="7" s="1"/>
  <c r="V88" i="7" s="1"/>
  <c r="V89" i="7" s="1"/>
  <c r="V90" i="7" s="1"/>
  <c r="V91" i="7" s="1"/>
  <c r="V92" i="7" s="1"/>
  <c r="V93" i="7" s="1"/>
  <c r="V94" i="7" s="1"/>
  <c r="V95" i="7" s="1"/>
  <c r="V96" i="7" s="1"/>
  <c r="V97" i="7" s="1"/>
  <c r="V98" i="7" s="1"/>
  <c r="V99" i="7" s="1"/>
  <c r="V100" i="7" s="1"/>
  <c r="V101" i="7" s="1"/>
  <c r="V102" i="7" s="1"/>
  <c r="V103" i="7" s="1"/>
  <c r="V104" i="7" s="1"/>
  <c r="V105" i="7" s="1"/>
  <c r="V106" i="7" s="1"/>
  <c r="V107" i="7" s="1"/>
  <c r="V108" i="7" s="1"/>
  <c r="V109" i="7" s="1"/>
  <c r="V110" i="7" s="1"/>
  <c r="V111" i="7" s="1"/>
  <c r="V112" i="7" s="1"/>
  <c r="V113" i="7" s="1"/>
  <c r="V114" i="7" s="1"/>
  <c r="V115" i="7" s="1"/>
  <c r="V116" i="7" s="1"/>
  <c r="V117" i="7" s="1"/>
  <c r="V118" i="7" s="1"/>
  <c r="V119" i="7" s="1"/>
  <c r="V120" i="7" s="1"/>
  <c r="V121" i="7" s="1"/>
  <c r="V122" i="7" s="1"/>
  <c r="V123" i="7" s="1"/>
  <c r="V124" i="7" s="1"/>
  <c r="V125" i="7" s="1"/>
  <c r="V126" i="7" s="1"/>
  <c r="V127" i="7" s="1"/>
  <c r="V128" i="7" s="1"/>
  <c r="V129" i="7" s="1"/>
  <c r="V130" i="7" s="1"/>
  <c r="V131" i="7" s="1"/>
  <c r="V132" i="7" s="1"/>
  <c r="V133" i="7" s="1"/>
  <c r="V134" i="7" s="1"/>
  <c r="V135" i="7" s="1"/>
  <c r="V136" i="7" s="1"/>
  <c r="V137" i="7" s="1"/>
  <c r="V138" i="7" s="1"/>
  <c r="V139" i="7" s="1"/>
  <c r="V140" i="7" s="1"/>
  <c r="V141" i="7" s="1"/>
  <c r="V142" i="7" s="1"/>
  <c r="V143" i="7" s="1"/>
  <c r="V144" i="7" s="1"/>
  <c r="V145" i="7" s="1"/>
  <c r="V146" i="7" s="1"/>
  <c r="V147" i="7" s="1"/>
  <c r="V148" i="7" s="1"/>
  <c r="V149" i="7" s="1"/>
  <c r="V150" i="7" s="1"/>
  <c r="V151" i="7" s="1"/>
  <c r="V152" i="7" s="1"/>
  <c r="V153" i="7" s="1"/>
  <c r="V154" i="7" s="1"/>
  <c r="V155" i="7" s="1"/>
  <c r="V156" i="7" s="1"/>
  <c r="V157" i="7" s="1"/>
  <c r="V158" i="7" s="1"/>
  <c r="V159" i="7" s="1"/>
  <c r="V160" i="7" s="1"/>
  <c r="V161" i="7" s="1"/>
  <c r="V162" i="7" s="1"/>
  <c r="V163" i="7" s="1"/>
  <c r="V164" i="7" s="1"/>
  <c r="V165" i="7" s="1"/>
  <c r="V166" i="7" s="1"/>
  <c r="V167" i="7" s="1"/>
  <c r="V168" i="7" s="1"/>
  <c r="V169" i="7" s="1"/>
  <c r="V170" i="7" s="1"/>
  <c r="V171" i="7" s="1"/>
  <c r="V172" i="7" s="1"/>
  <c r="V173" i="7" s="1"/>
  <c r="V174" i="7" s="1"/>
  <c r="V175" i="7" s="1"/>
  <c r="V176" i="7" s="1"/>
  <c r="V177" i="7" s="1"/>
  <c r="V178" i="7" s="1"/>
  <c r="V179" i="7" s="1"/>
  <c r="V180" i="7" s="1"/>
  <c r="V181" i="7" s="1"/>
  <c r="V182" i="7" s="1"/>
  <c r="V183" i="7" s="1"/>
  <c r="V184" i="7" s="1"/>
  <c r="V185" i="7" s="1"/>
  <c r="V186" i="7" s="1"/>
  <c r="V187" i="7" s="1"/>
  <c r="V188" i="7" s="1"/>
  <c r="V189" i="7" s="1"/>
  <c r="V190" i="7" s="1"/>
  <c r="V191" i="7" s="1"/>
  <c r="V192" i="7" s="1"/>
  <c r="V193" i="7" s="1"/>
  <c r="V194" i="7" s="1"/>
  <c r="V195" i="7" s="1"/>
  <c r="V196" i="7" s="1"/>
  <c r="V197" i="7" s="1"/>
  <c r="V198" i="7" s="1"/>
  <c r="V199" i="7" s="1"/>
  <c r="V200" i="7" s="1"/>
  <c r="V201" i="7" s="1"/>
  <c r="V202" i="7" s="1"/>
  <c r="V203" i="7" s="1"/>
  <c r="V204" i="7" s="1"/>
  <c r="V205" i="7" s="1"/>
  <c r="V206" i="7" s="1"/>
  <c r="V207" i="7" s="1"/>
  <c r="V208" i="7" s="1"/>
  <c r="Q7" i="10"/>
  <c r="W1" i="7" l="1"/>
  <c r="F1" i="9" l="1"/>
  <c r="H14" i="10" l="1"/>
  <c r="I14" i="10" s="1"/>
  <c r="I13" i="10"/>
  <c r="H12" i="10"/>
  <c r="I12" i="10" s="1"/>
  <c r="B2" i="7" l="1"/>
  <c r="B3" i="7" s="1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O4" i="1" l="1"/>
</calcChain>
</file>

<file path=xl/sharedStrings.xml><?xml version="1.0" encoding="utf-8"?>
<sst xmlns="http://schemas.openxmlformats.org/spreadsheetml/2006/main" count="3599" uniqueCount="659">
  <si>
    <t>NOME</t>
  </si>
  <si>
    <t>CCUSTO</t>
  </si>
  <si>
    <t>TOTAL</t>
  </si>
  <si>
    <t>TIPO DE DESP:</t>
  </si>
  <si>
    <t>Título</t>
  </si>
  <si>
    <t>DATA</t>
  </si>
  <si>
    <t>Nº DOC</t>
  </si>
  <si>
    <t>MENSAL</t>
  </si>
  <si>
    <t>EXAME</t>
  </si>
  <si>
    <t>DESCON</t>
  </si>
  <si>
    <t>REPRES</t>
  </si>
  <si>
    <t>INSCRI</t>
  </si>
  <si>
    <t>UNIMED ITUVERAVA</t>
  </si>
  <si>
    <t>SEGURO DE VIDA EM GRUPO</t>
  </si>
  <si>
    <t>SEGURO SAÚDE</t>
  </si>
  <si>
    <t>CONTA</t>
  </si>
  <si>
    <t>REAL</t>
  </si>
  <si>
    <t>FGL</t>
  </si>
  <si>
    <t>GERAL</t>
  </si>
  <si>
    <t>CR</t>
  </si>
  <si>
    <t>NAO</t>
  </si>
  <si>
    <t>REAL        1         1FGL        7.159,75GERAL   31/01/2023    1CRFISCAL  101PLANO MÊS 01/2023                       1  31550109</t>
  </si>
  <si>
    <t>REAL        3         1FGL        4.868,63GERAL   31/01/2023    1CRFISCAL  101PLANO MÊS 01/2023                       1  31550109</t>
  </si>
  <si>
    <t>REAL        5         1FGL        4.295,85GERAL   31/01/2023    1CRFISCAL  101PLANO MÊS 01/2023                       1  31550109</t>
  </si>
  <si>
    <t>REAL        7         1FGL        2.291,12GERAL   31/01/2023    1CRFISCAL  101PLANO MÊS 01/2023                       1  31550109</t>
  </si>
  <si>
    <t>REAL        9         1FGL        5.155,02GERAL   31/01/2023    1CRFISCAL  101PLANO MÊS 01/2023                       1  31550109</t>
  </si>
  <si>
    <t>REAL       11         1FGL       23.140,13GERAL   31/01/2023    1CRFISCAL  101PLANO MÊS 01/2023                       1  31550109</t>
  </si>
  <si>
    <t>REAL       13         1FGL          859,17GERAL   31/01/2023    1CRFISCAL  101PLANO MÊS 01/2023                       1  31550109</t>
  </si>
  <si>
    <t>REAL       15         1FGL        7.230,19GERAL   31/01/2023    1CRFISCAL  101PLANO MÊS 01/2023                       1  31550109</t>
  </si>
  <si>
    <t>REAL       17         1FGL        3.150,29GERAL   31/01/2023    1CRFISCAL  101PLANO MÊS 01/2023                       1  31550109</t>
  </si>
  <si>
    <t>REAL       19         1FGL        1.145,56GERAL   31/01/2023    1CRFISCAL  101PLANO MÊS 01/2023                       1  31550109</t>
  </si>
  <si>
    <t>REAL       21         1FGL        6.943,80GERAL   31/01/2023    1CRFISCAL  101PLANO MÊS 01/2023                       1  31550109</t>
  </si>
  <si>
    <t>REAL       23         1FGL          859,17GERAL   31/01/2023    1CRFISCAL  101PLANO MÊS 01/2023                       1  31550109</t>
  </si>
  <si>
    <t>REAL       25         1FGL        5.207,85GERAL   31/01/2023    1CRFISCAL  101PLANO MÊS 01/2023                       1  31550109</t>
  </si>
  <si>
    <t>REAL       27         1FGL        3.471,90GERAL   31/01/2023    1CRFISCAL  101PLANO MÊS 01/2023                       1  31550109</t>
  </si>
  <si>
    <t>REAL       29         1FGL        5.207,85GERAL   31/01/2023    1CRFISCAL  101PLANO MÊS 01/2023                       1  31550109</t>
  </si>
  <si>
    <t>REAL       31         1FGL        6.943,80GERAL   31/01/2023    1CRFISCAL  101PLANO MÊS 01/2023                       1  31550109</t>
  </si>
  <si>
    <t>REAL       33         1FGL          286,39GERAL   31/01/2023    1CRFISCAL  101PLANO MÊS 01/2023                       1  31550109</t>
  </si>
  <si>
    <t>REAL       35         1FGL        1.718,34GERAL   31/01/2023    1CRFISCAL  101PLANO MÊS 01/2023                       1  31550109</t>
  </si>
  <si>
    <t>REAL       37         1FGL          572,78GERAL   31/01/2023    1CRFISCAL  101PLANO MÊS 01/2023                       1  31550109</t>
  </si>
  <si>
    <t>REAL       39         1FGL        1.145,56GERAL   31/01/2023    1CRFISCAL  101PLANO MÊS 01/2023                       1  31550109</t>
  </si>
  <si>
    <t>REAL       41         1FGL        1.431,95GERAL   31/01/2023    1CRFISCAL  101PLANO MÊS 01/2023                       1  31550109</t>
  </si>
  <si>
    <t>REAL       43         1FGL          572,78GERAL   31/01/2023    1CRFISCAL  101PLANO MÊS 01/2023                       1  31550109</t>
  </si>
  <si>
    <t>REAL       45         1FGL          286,39GERAL   31/01/2023    1CRFISCAL  101PLANO MÊS 01/2023                       1  31550109</t>
  </si>
  <si>
    <t>REAL       47         1FGL        1.145,56GERAL   31/01/2023    1CRFISCAL  101PLANO MÊS 01/2023                       1  31550109</t>
  </si>
  <si>
    <t>REAL       49         1FGL          859,17GERAL   31/01/2023    1CRFISCAL  101PLANO MÊS 01/2023                       1  31550109</t>
  </si>
  <si>
    <t>REAL       51         1FGL        8.591,70GERAL   31/01/2023    1CRFISCAL  101PLANO MÊS 01/2023                       1  31550109</t>
  </si>
  <si>
    <t>REAL       53         1FGL          286,39GERAL   31/01/2023    1CRFISCAL  101PLANO MÊS 01/2023                       1  31550109</t>
  </si>
  <si>
    <t>REAL       55         1FGL          572,78GERAL   31/01/2023    1CRFISCAL  101PLANO MÊS 01/2023                       1  31550109</t>
  </si>
  <si>
    <t>REAL       57         1FGL          286,39GERAL   31/01/2023    1CRFISCAL  101PLANO MÊS 01/2023                       1  31550109</t>
  </si>
  <si>
    <t>REAL       59         1FGL          286,39GERAL   31/01/2023    1CRFISCAL  101PLANO MÊS 01/2023                       1  31550109</t>
  </si>
  <si>
    <t>REAL       61         1FGL        1.737,57GERAL   31/01/2023    1CRFISCAL  101PLANO MÊS 01/2023                       1  31550109</t>
  </si>
  <si>
    <t>REAL       63         1FGL        1.974,58GERAL   31/01/2023    1CRFISCAL  101PLANO MÊS 01/2023                       1  31550109</t>
  </si>
  <si>
    <t>REAL       65         1FGL        2.079,75GERAL   31/01/2023    1CRFISCAL  101PLANO MÊS 01/2023                       1  31550109</t>
  </si>
  <si>
    <t>REAL       67         1FGL        3.843,99GERAL   31/01/2023    1CRFISCAL  101PLANO MÊS 01/2023                       1  31550109</t>
  </si>
  <si>
    <t>REAL       69         1FGL        7.422,35GERAL   31/01/2023    1CRFISCAL  101PLANO MÊS 01/2023                       1  31550109</t>
  </si>
  <si>
    <t>REAL       71         1FGL          579,19GERAL   31/01/2023    1CRFISCAL  101PLANO MÊS 01/2023                       1  31550109</t>
  </si>
  <si>
    <t>REAL       73         1FGL       10.580,98GERAL   31/01/2023    1CRFISCAL  101PLANO MÊS 01/2023                       1  31550109</t>
  </si>
  <si>
    <t>REAL       75         1FGL          750,28GERAL   31/01/2023    1CRFISCAL  101PLANO MÊS 01/2023                       1  31550109</t>
  </si>
  <si>
    <t>REAL       77         1FGL        4.847,59GERAL   31/01/2023    1CRFISCAL  101PLANO MÊS 01/2023                       1  31550109</t>
  </si>
  <si>
    <t>REAL       79         1FGL        3.905,96GERAL   31/01/2023    1CRFISCAL  101PLANO MÊS 01/2023                       1  31550109</t>
  </si>
  <si>
    <t>REAL       81         1FGL        7.319,13GERAL   31/01/2023    1CRFISCAL  101PLANO MÊS 01/2023                       1  31550109</t>
  </si>
  <si>
    <t>REAL       83         1FGL        7.039,92GERAL   31/01/2023    1CRFISCAL  101PLANO MÊS 01/2023                       1  31550109</t>
  </si>
  <si>
    <t>REAL       85         1FGL          750,28GERAL   31/01/2023    1CRFISCAL  101PLANO MÊS 01/2023                       1  31550109</t>
  </si>
  <si>
    <t>REAL       87         1FGL        1.329,47GERAL   31/01/2023    1CRFISCAL  101PLANO MÊS 01/2023                       1  31550109</t>
  </si>
  <si>
    <t>REAL       89         1FGL        1.092,46GERAL   31/01/2023    1CRFISCAL  101PLANO MÊS 01/2023                       1  31550109</t>
  </si>
  <si>
    <t>REAL       91         1FGL        8.135,33GERAL   31/01/2023    1CRFISCAL  101PLANO MÊS 01/2023                       1  31550109</t>
  </si>
  <si>
    <t>REAL       93         1FGL        1.158,38GERAL   31/01/2023    1CRFISCAL  101PLANO MÊS 01/2023                       1  31550109</t>
  </si>
  <si>
    <t>REAL       95         1FGL          171,09GERAL   31/01/2023    1CRFISCAL  101PLANO MÊS 01/2023                       1  31550109</t>
  </si>
  <si>
    <t>REAL       97         1FGL        1.116,18GERAL   31/01/2023    1CRFISCAL  101PLANO MÊS 01/2023                       1  31550109</t>
  </si>
  <si>
    <t>REAL       99         1FGL        2.790,78GERAL   31/01/2023    1CRFISCAL  101PLANO MÊS 01/2023                       1  31550109</t>
  </si>
  <si>
    <t>REAL      101         1FGL        1.158,38GERAL   31/01/2023    1CRFISCAL  101PLANO MÊS 01/2023                       1  31550109</t>
  </si>
  <si>
    <t>REAL      103         1FGL        1.420,11GERAL   31/01/2023    1CRFISCAL  101PLANO MÊS 01/2023                       1  31550109</t>
  </si>
  <si>
    <t>REAL      105         1FGL          987,29GERAL   31/01/2023    1CRFISCAL  101PLANO MÊS 01/2023                       1  31550109</t>
  </si>
  <si>
    <t>REAL      107         1FGL          750,28GERAL   31/01/2023    1CRFISCAL  101PLANO MÊS 01/2023                       1  31550109</t>
  </si>
  <si>
    <t>REAL      109         1FGL          987,29GERAL   31/01/2023    1CRFISCAL  101PLANO MÊS 01/2023                       1  31550109</t>
  </si>
  <si>
    <t>REAL      111         1FGL        1.224,30GERAL   31/01/2023    1CRFISCAL  101PLANO MÊS 01/2023                       1  31550109</t>
  </si>
  <si>
    <t>REAL      113         1FGL        1.566,48GERAL   31/01/2023    1CRFISCAL  101PLANO MÊS 01/2023                       1  31550109</t>
  </si>
  <si>
    <t>REAL      115         1FGL        1.353,19GERAL   31/01/2023    1CRFISCAL  101PLANO MÊS 01/2023                       1  31550109</t>
  </si>
  <si>
    <t>REAL      117         1FGL          987,29GERAL   31/01/2023    1CRFISCAL  101PLANO MÊS 01/2023                       1  31550109</t>
  </si>
  <si>
    <t>REAL      119         1FGL          987,29GERAL   31/01/2023    1CRFISCAL  101PLANO MÊS 01/2023                       1  31550109</t>
  </si>
  <si>
    <t>REAL      121         1FGL        1.249,02GERAL   31/01/2023    1CRFISCAL  101PLANO MÊS 01/2023                       1  31550109</t>
  </si>
  <si>
    <t>REAL      123         1FGL        1.224,30GERAL   31/01/2023    1CRFISCAL  101PLANO MÊS 01/2023                       1  31550109</t>
  </si>
  <si>
    <t>REAL      125         1FGL          816,20GERAL   31/01/2023    1CRFISCAL  101PLANO MÊS 01/2023                       1  31550109</t>
  </si>
  <si>
    <t>REAL      127         1FGL        6.435,63GERAL   31/01/2023    1CRFISCAL  101PLANO MÊS 01/2023                       1  31550109</t>
  </si>
  <si>
    <t>REAL      129         1FGL          408,10GERAL   31/01/2023    1CRFISCAL  101PLANO MÊS 01/2023                       1  31550109</t>
  </si>
  <si>
    <t>REAL      131         1FGL        1.473,62GERAL   31/01/2023    1CRFISCAL  101PLANO MÊS 01/2023                       1  31550109</t>
  </si>
  <si>
    <t>REAL      133         1FGL        1.050,18GERAL   31/01/2023    1CRFISCAL  101PLANO MÊS 01/2023                       1  31550109</t>
  </si>
  <si>
    <t>REAL      135         1FGL        4.064,17GERAL   31/01/2023    1CRFISCAL  101PLANO MÊS 01/2023                       1  31550109</t>
  </si>
  <si>
    <t>REAL      137         1FGL        1.213,68GERAL   31/01/2023    1CRFISCAL  101PLANO MÊS 01/2023                       1  31550109</t>
  </si>
  <si>
    <t>REAL      139         1FGL          579,19GERAL   31/01/2023    1CRFISCAL  101PLANO MÊS 01/2023                       1  31550109</t>
  </si>
  <si>
    <t>REAL      141         1FGL           91,00GERAL   31/01/2023    1CRFISCAL  101PLANO MÊS 01/2023                       1  31550109</t>
  </si>
  <si>
    <t>REAL      143         1FGL           21,00GERAL   31/01/2023    1CRFISCAL  101PLANO MÊS 01/2023                       1  31550109</t>
  </si>
  <si>
    <t>REAL      145         1FGL          126,00GERAL   31/01/2023    1CRFISCAL  101PLANO MÊS 01/2023                       1  31550109</t>
  </si>
  <si>
    <t>REAL      147         1FGL          168,00GERAL   31/01/2023    1CRFISCAL  101PLANO MÊS 01/2023                       1  31550109</t>
  </si>
  <si>
    <t>REAL      149         1FGL           14,00GERAL   31/01/2023    1CRFISCAL  101PLANO MÊS 01/2023                       1  31550109</t>
  </si>
  <si>
    <t>REAL      151         1FGL           84,00GERAL   31/01/2023    1CRFISCAL  101PLANO MÊS 01/2023                       1  31550109</t>
  </si>
  <si>
    <t>REAL      153         1FGL          252,00GERAL   31/01/2023    1CRFISCAL  101PLANO MÊS 01/2023                       1  31550109</t>
  </si>
  <si>
    <t>REAL      155         1FGL           21,00GERAL   31/01/2023    1CRFISCAL  101PLANO MÊS 01/2023                       1  31550109</t>
  </si>
  <si>
    <t>REAL      157         1FGL           35,00GERAL   31/01/2023    1CRFISCAL  101PLANO MÊS 01/2023                       1  31550109</t>
  </si>
  <si>
    <t>REAL      159         1FGL          168,00GERAL   31/01/2023    1CRFISCAL  101PLANO MÊS 01/2023                       1  31550109</t>
  </si>
  <si>
    <t>REAL      161         1FGL          154,00GERAL   31/01/2023    1CRFISCAL  101PLANO MÊS 01/2023                       1  31550109</t>
  </si>
  <si>
    <t>REAL      163         1FGL          161,00GERAL   31/01/2023    1CRFISCAL  101PLANO MÊS 01/2023                       1  31550109</t>
  </si>
  <si>
    <t>REAL      165         1FGL          134,72GERAL   31/01/2023    1CRFISCAL  101PLANO MÊS 01/2023                       1  31550109</t>
  </si>
  <si>
    <t>REAL      167         1FGL          259,00GERAL   31/01/2023    1CRFISCAL  101PLANO MÊS 01/2023                       1  31550109</t>
  </si>
  <si>
    <t>REAL      169         1FGL          168,00GERAL   31/01/2023    1CRFISCAL  101PLANO MÊS 01/2023                       1  31550109</t>
  </si>
  <si>
    <t>REAL      171         1FGL           35,00GERAL   31/01/2023    1CRFISCAL  101PLANO MÊS 01/2023                       1  31550109</t>
  </si>
  <si>
    <t>REAL      173         1FGL          378,00GERAL   31/01/2023    1CRFISCAL  101PLANO MÊS 01/2023                       1  31550109</t>
  </si>
  <si>
    <t>REAL      175         1FGL           78,72GERAL   31/01/2023    1CRFISCAL  101PLANO MÊS 01/2023                       1  31550109</t>
  </si>
  <si>
    <t>REAL      177         1FGL          280,00GERAL   31/01/2023    1CRFISCAL  101PLANO MÊS 01/2023                       1  31550109</t>
  </si>
  <si>
    <t>REAL      179         1FGL           84,00GERAL   31/01/2023    1CRFISCAL  101PLANO MÊS 01/2023                       1  31550109</t>
  </si>
  <si>
    <t>REAL      181         1FGL           28,00GERAL   31/01/2023    1CRFISCAL  101PLANO MÊS 01/2023                       1  31550109</t>
  </si>
  <si>
    <t>REAL      183         1FGL           35,00GERAL   31/01/2023    1CRFISCAL  101PLANO MÊS 01/2023                       1  31550109</t>
  </si>
  <si>
    <t>REAL      185         1FGL           84,00GERAL   31/01/2023    1CRFISCAL  101PLANO MÊS 01/2023                       1  31550109</t>
  </si>
  <si>
    <t>REAL      187         1FGL           42,00GERAL   31/01/2023    1CRFISCAL  101PLANO MÊS 01/2023                       1  31550109</t>
  </si>
  <si>
    <t>REAL      189         1FGL           49,00GERAL   31/01/2023    1CRFISCAL  101PLANO MÊS 01/2023                       1  31550109</t>
  </si>
  <si>
    <t>REAL      191         1FGL           70,00GERAL   31/01/2023    1CRFISCAL  101PLANO MÊS 01/2023                       1  31550109</t>
  </si>
  <si>
    <t>REAL      193         1FGL           84,00GERAL   31/01/2023    1CRFISCAL  101PLANO MÊS 01/2023                       1  31550109</t>
  </si>
  <si>
    <t>REAL      195         1FGL           70,00GERAL   31/01/2023    1CRFISCAL  101PLANO MÊS 01/2023                       1  31550109</t>
  </si>
  <si>
    <t>REAL      197         1FGL           21,00GERAL   31/01/2023    1CRFISCAL  101PLANO MÊS 01/2023                       1  31550109</t>
  </si>
  <si>
    <t>REAL      199         1FGL          196,00GERAL   31/01/2023    1CRFISCAL  101PLANO MÊS 01/2023                       1  31550109</t>
  </si>
  <si>
    <t>REAL      201         1FGL           35,00GERAL   31/01/2023    1CRFISCAL  101PLANO MÊS 01/2023                       1  31550109</t>
  </si>
  <si>
    <t>REAL      203         1FGL          119,00GERAL   31/01/2023    1CRFISCAL  101PLANO MÊS 01/2023                       1  31550109</t>
  </si>
  <si>
    <t>REAL      205         1FGL           98,00GERAL   31/01/2023    1CRFISCAL  101PLANO MÊS 01/2023                       1  31550109</t>
  </si>
  <si>
    <t>REAL      207         1FGL           42,00GERAL   31/01/2023    1CRFISCAL  101PLANO MÊS 01/2023                       1  31550109</t>
  </si>
  <si>
    <t>REAL      209         1FGL          112,00GERAL   31/01/2023    1CRFISCAL  101PLANO MÊS 01/2023                       1  31550109</t>
  </si>
  <si>
    <t>REAL      211         1FGL           28,00GERAL   31/01/2023    1CRFISCAL  101PLANO MÊS 01/2023                       1  31550109</t>
  </si>
  <si>
    <t>REAL      213         1FGL           63,00GERAL   31/01/2023    1CRFISCAL  101PLANO MÊS 01/2023                       1  31550109</t>
  </si>
  <si>
    <t>REAL      215         1FGL          125,97GERAL   31/01/2023    1CRFISCAL  101PLANO MÊS 01/2023                       1  31550109</t>
  </si>
  <si>
    <t>REAL      217         1FGL           28,00GERAL   31/01/2023    1CRFISCAL  101PLANO MÊS 01/2023                       1  31550109</t>
  </si>
  <si>
    <t>REAL      219         1FGL           42,00GERAL   31/01/2023    1CRFISCAL  101PLANO MÊS 01/2023                       1  31550109</t>
  </si>
  <si>
    <t>REAL      221         1FGL           35,00GERAL   31/01/2023    1CRFISCAL  101PLANO MÊS 01/2023                       1  31550109</t>
  </si>
  <si>
    <t>REAL      223         1FGL          118,97GERAL   31/01/2023    1CRFISCAL  101PLANO MÊS 01/2023                       1  31550109</t>
  </si>
  <si>
    <t>REAL      225         1FGL          286,88GERAL   31/01/2023    1CRFISCAL  101PLANO MÊS 01/2023                       1  31550109</t>
  </si>
  <si>
    <t>REAL      227         1FGL            7,00GERAL   31/01/2023    1CRFISCAL  101PLANO MÊS 01/2023                       1  31550109</t>
  </si>
  <si>
    <t>REAL      229         1FGL           21,00GERAL   31/01/2023    1CRFISCAL  101PLANO MÊS 01/2023                       1  31550109</t>
  </si>
  <si>
    <t>REAL      231         1FGL           71,72GERAL   31/01/2023    1CRFISCAL  101PLANO MÊS 01/2023                       1  31550109</t>
  </si>
  <si>
    <t>REAL      233         1FGL          182,00GERAL   31/01/2023    1CRFISCAL  101PLANO MÊS 01/2023                       1  31550109</t>
  </si>
  <si>
    <t>REAL      235         1FGL           28,00GERAL   31/01/2023    1CRFISCAL  101PLANO MÊS 01/2023                       1  31550109</t>
  </si>
  <si>
    <t>REAL      237         1FGL           64,72GERAL   31/01/2023    1CRFISCAL  101PLANO MÊS 01/2023                       1  31550109</t>
  </si>
  <si>
    <t>REAL      239         1FGL           64,72GERAL   31/01/2023    1CRFISCAL  101PLANO MÊS 01/2023                       1  31550109</t>
  </si>
  <si>
    <t>REAL      241         1FGL           91,00GERAL   31/01/2023    1CRFISCAL  101PLANO MÊS 01/2023                       1  31550109</t>
  </si>
  <si>
    <t>REAL      243         1FGL           77,00GERAL   31/01/2023    1CRFISCAL  101PLANO MÊS 01/2023                       1  31550109</t>
  </si>
  <si>
    <t>REAL      245         1FGL           42,00GERAL   31/01/2023    1CRFISCAL  101PLANO MÊS 01/2023                       1  31550109</t>
  </si>
  <si>
    <t>REAL      247         1FGL           21,00GERAL   31/01/2023    1CRFISCAL  101PLANO MÊS 01/2023                       1  31550109</t>
  </si>
  <si>
    <t>REAL      249         1FGL           21,00GERAL   31/01/2023    1CRFISCAL  101PLANO MÊS 01/2023                       1  31550109</t>
  </si>
  <si>
    <t>REAL      251         1FGL           14,00GERAL   31/01/2023    1CRFISCAL  101PLANO MÊS 01/2023                       1  31550109</t>
  </si>
  <si>
    <t>REAL      253         1FGL           61,25GERAL   31/01/2023    1CRFISCAL  101PLANO MÊS 01/2023                       1  31550109</t>
  </si>
  <si>
    <t>REAL      255         1FGL           14,00GERAL   31/01/2023    1CRFISCAL  101PLANO MÊS 01/2023                       1  31550109</t>
  </si>
  <si>
    <t>REAL      257         1FGL          112,00GERAL   31/01/2023    1CRFISCAL  101PLANO MÊS 01/2023                       1  31550109</t>
  </si>
  <si>
    <t>REAL      259         1FGL            7,00GERAL   31/01/2023    1CRFISCAL  101PLANO MÊS 01/2023                       1  31550109</t>
  </si>
  <si>
    <t>REAL      261         1FGL            7,00GERAL   31/01/2023    1CRFISCAL  101PLANO MÊS 01/2023                       1  31550109</t>
  </si>
  <si>
    <t>|PAGTO DOC - SEGURO SAÚDE|PLANO DE SAUDE - SEGURO SAÚDE|C CUSTO - 14113|TOTAL: 7159,75|                      NAOGERAL   141131900031201005                2</t>
  </si>
  <si>
    <t>|PAGTO DOC - SEGURO SAÚDE|PLANO DE SAUDE - SEGURO SAÚDE|C CUSTO - 14119|TOTAL: 4868,63|                      NAOGERAL   141191900031201005                4</t>
  </si>
  <si>
    <t>|PAGTO DOC - SEGURO SAÚDE|PLANO DE SAUDE - SEGURO SAÚDE|C CUSTO - 14111|TOTAL: 4295,85|                      NAOGERAL   141111900031201005                6</t>
  </si>
  <si>
    <t>|PAGTO DOC - SEGURO SAÚDE|PLANO DE SAUDE - SEGURO SAÚDE|C CUSTO - 14056|TOTAL: 2291,12|                      NAOGERAL   140561900031201005                8</t>
  </si>
  <si>
    <t>|PAGTO DOC - SEGURO SAÚDE|PLANO DE SAUDE - SEGURO SAÚDE|C CUSTO - 14116|TOTAL: 5155,02|                      NAOGERAL   141161900031201005               10</t>
  </si>
  <si>
    <t>|PAGTO DOC - SEGURO SAÚDE|PLANO DE SAUDE - SEGURO SAÚDE|C CUSTO - 11011|TOTAL: 23140,13|                     NAOGERAL   110111900031201005               12</t>
  </si>
  <si>
    <t>|PAGTO DOC - SEGURO SAÚDE|PLANO DE SAUDE - SEGURO SAÚDE|C CUSTO - 14112|TOTAL: 859,17|                       NAOGERAL   141121900031201005               14</t>
  </si>
  <si>
    <t>|PAGTO DOC - SEGURO SAÚDE|PLANO DE SAUDE - SEGURO SAÚDE|C CUSTO - 14051|TOTAL: 7230,19|                      NAOGERAL   140511900031201005               16</t>
  </si>
  <si>
    <t>|PAGTO DOC - SEGURO SAÚDE|PLANO DE SAUDE - SEGURO SAÚDE|C CUSTO - 14120|TOTAL: 3150,29|                      NAOGERAL   141201900031201005               18</t>
  </si>
  <si>
    <t>|PAGTO DOC - SEGURO SAÚDE|PLANO DE SAUDE - SEGURO SAÚDE|C CUSTO - 14059|TOTAL: 1145,56|                      NAOGERAL   140591900031201005               20</t>
  </si>
  <si>
    <t>|PAGTO DOC - SEGURO SAÚDE|PLANO DE SAUDE - SEGURO SAÚDE|C CUSTO - 11012|TOTAL: 6943,8|                       NAOGERAL   110121900031201005               22</t>
  </si>
  <si>
    <t>|PAGTO DOC - SEGURO SAÚDE|PLANO DE SAUDE - SEGURO SAÚDE|C CUSTO - 14060|TOTAL: 859,17|                       NAOGERAL   140601900031201005               24</t>
  </si>
  <si>
    <t>|PAGTO DOC - SEGURO SAÚDE|PLANO DE SAUDE - SEGURO SAÚDE|C CUSTO - 11013|TOTAL: 5207,85|                      NAOGERAL   110131900031201005               26</t>
  </si>
  <si>
    <t>|PAGTO DOC - SEGURO SAÚDE|PLANO DE SAUDE - SEGURO SAÚDE|C CUSTO - 13013|TOTAL: 3471,9|                       NAOGERAL   130131900031201005               28</t>
  </si>
  <si>
    <t>|PAGTO DOC - SEGURO SAÚDE|PLANO DE SAUDE - SEGURO SAÚDE|C CUSTO - 33020|TOTAL: 5207,85|                      NAOGERAL   330201900031201005               30</t>
  </si>
  <si>
    <t>|PAGTO DOC - SEGURO SAÚDE|PLANO DE SAUDE - SEGURO SAÚDE|C CUSTO - 11014|TOTAL: 6943,8|                       NAOGERAL   110141900031201005               32</t>
  </si>
  <si>
    <t>|PAGTO DOC - SEGURO SAÚDE|PLANO DE SAUDE - SEGURO SAÚDE|C CUSTO - 14055|TOTAL: 286,39|                       NAOGERAL   140551900031201005               34</t>
  </si>
  <si>
    <t>|PAGTO DOC - SEGURO SAÚDE|PLANO DE SAUDE - SEGURO SAÚDE|C CUSTO - 14053|TOTAL: 1718,34|                      NAOGERAL   140531900031201005               36</t>
  </si>
  <si>
    <t>|PAGTO DOC - SEGURO SAÚDE|PLANO DE SAUDE - SEGURO SAÚDE|C CUSTO - 14052|TOTAL: 572,78|                       NAOGERAL   140521900031201005               38</t>
  </si>
  <si>
    <t>|PAGTO DOC - SEGURO SAÚDE|PLANO DE SAUDE - SEGURO SAÚDE|C CUSTO - 14012|TOTAL: 1145,56|                      NAOGERAL   140121900031201005               40</t>
  </si>
  <si>
    <t>|PAGTO DOC - SEGURO SAÚDE|PLANO DE SAUDE - SEGURO SAÚDE|C CUSTO - 21011|TOTAL: 1431,95|                      NAOGERAL   210111900031201005               42</t>
  </si>
  <si>
    <t>|PAGTO DOC - SEGURO SAÚDE|PLANO DE SAUDE - SEGURO SAÚDE|C CUSTO - 15012|TOTAL: 572,78|                       NAOGERAL   150121900031201005               44</t>
  </si>
  <si>
    <t>|PAGTO DOC - SEGURO SAÚDE|PLANO DE SAUDE - SEGURO SAÚDE|C CUSTO - 13016|TOTAL: 286,39|                       NAOGERAL   130161900031201005               46</t>
  </si>
  <si>
    <t>|PAGTO DOC - SEGURO SAÚDE|PLANO DE SAUDE - SEGURO SAÚDE|C CUSTO - 14050|TOTAL: 1145,56|                      NAOGERAL   140501900031201005               48</t>
  </si>
  <si>
    <t>|PAGTO DOC - SEGURO SAÚDE|PLANO DE SAUDE - SEGURO SAÚDE|C CUSTO - 31311|TOTAL: 859,17|                       NAOGERAL   313111900031201005               50</t>
  </si>
  <si>
    <t>|PAGTO DOC - SEGURO SAÚDE|PLANO DE SAUDE - SEGURO SAÚDE|C CUSTO - 31311|TOTAL: 8591,7|                       NAOGERAL   313111900031201005               52</t>
  </si>
  <si>
    <t>|PAGTO DOC - SEGURO SAÚDE|PLANO DE SAUDE - SEGURO SAÚDE|C CUSTO - 55040|TOTAL: 286,39|                       NAOGERAL   550401900031201005               54</t>
  </si>
  <si>
    <t>|PAGTO DOC - SEGURO SAÚDE|PLANO DE SAUDE - SEGURO SAÚDE|C CUSTO - 31311|TOTAL: 572,78|                       NAOGERAL   313111900031201005               56</t>
  </si>
  <si>
    <t>|PAGTO DOC - SEGURO SAÚDE|PLANO DE SAUDE - SEGURO SAÚDE|C CUSTO - 31311|TOTAL: 286,39|                       NAOGERAL   313111900031201005               58</t>
  </si>
  <si>
    <t>|PAGTO DOC - SEGURO SAÚDE|PLANO DE SAUDE - SEGURO SAÚDE|C CUSTO - 31311|TOTAL: 286,39|                       NAOGERAL   313111900031201005               60</t>
  </si>
  <si>
    <t>|PAGTO DOC - UNIMED ITUVERAVA|PLANO DE SAUDE - UNIMED ITUVERAVA|C CUSTO - 33040|TOTAL: 1737,57|              NAOGERAL   330401900031201005               62</t>
  </si>
  <si>
    <t>|PAGTO DOC - UNIMED ITUVERAVA|PLANO DE SAUDE - UNIMED ITUVERAVA|C CUSTO - 33050|TOTAL: 1974,58|              NAOGERAL   330501900031201005               64</t>
  </si>
  <si>
    <t>|PAGTO DOC - UNIMED ITUVERAVA|PLANO DE SAUDE - UNIMED ITUVERAVA|C CUSTO - 31100|TOTAL: 2079,75|              NAOGERAL   311001900031201005               66</t>
  </si>
  <si>
    <t>|PAGTO DOC - UNIMED ITUVERAVA|PLANO DE SAUDE - UNIMED ITUVERAVA|C CUSTO - 21012|TOTAL: 3843,99|              NAOGERAL   210121900031201005               68</t>
  </si>
  <si>
    <t>|PAGTO DOC - UNIMED ITUVERAVA|PLANO DE SAUDE - UNIMED ITUVERAVA|C CUSTO - 31090|TOTAL: 7422,35|              NAOGERAL   310901900031201005               70</t>
  </si>
  <si>
    <t>|PAGTO DOC - UNIMED ITUVERAVA|PLANO DE SAUDE - UNIMED ITUVERAVA|C CUSTO - 15012|TOTAL: 579,19|               NAOGERAL   150121900031201005               72</t>
  </si>
  <si>
    <t>|PAGTO DOC - UNIMED ITUVERAVA|PLANO DE SAUDE - UNIMED ITUVERAVA|C CUSTO - 31060|TOTAL: 10580,98|             NAOGERAL   310601900031201005               74</t>
  </si>
  <si>
    <t>|PAGTO DOC - UNIMED ITUVERAVA|PLANO DE SAUDE - UNIMED ITUVERAVA|C CUSTO - 13012|TOTAL: 750,28|               NAOGERAL   130121900031201005               76</t>
  </si>
  <si>
    <t>|PAGTO DOC - UNIMED ITUVERAVA|PLANO DE SAUDE - UNIMED ITUVERAVA|C CUSTO - 31200|TOTAL: 4847,59|              NAOGERAL   312001900031201005               78</t>
  </si>
  <si>
    <t>|PAGTO DOC - UNIMED ITUVERAVA|PLANO DE SAUDE - UNIMED ITUVERAVA|C CUSTO - 33100|TOTAL: 3905,96|              NAOGERAL   331001900031201005               80</t>
  </si>
  <si>
    <t>|PAGTO DOC - UNIMED ITUVERAVA|PLANO DE SAUDE - UNIMED ITUVERAVA|C CUSTO - 55080|TOTAL: 7319,13|              NAOGERAL   550801900031201005               82</t>
  </si>
  <si>
    <t>|PAGTO DOC - UNIMED ITUVERAVA|PLANO DE SAUDE - UNIMED ITUVERAVA|C CUSTO - 31080|TOTAL: 7039,92|              NAOGERAL   310801900031201005               84</t>
  </si>
  <si>
    <t>|PAGTO DOC - UNIMED ITUVERAVA|PLANO DE SAUDE - UNIMED ITUVERAVA|C CUSTO - 13016|TOTAL: 750,28|               NAOGERAL   130161900031201005               86</t>
  </si>
  <si>
    <t>|PAGTO DOC - UNIMED ITUVERAVA|PLANO DE SAUDE - UNIMED ITUVERAVA|C CUSTO - 13017|TOTAL: 1329,47|              NAOGERAL   130171900031201005               88</t>
  </si>
  <si>
    <t>|PAGTO DOC - UNIMED ITUVERAVA|PLANO DE SAUDE - UNIMED ITUVERAVA|C CUSTO - 31115|TOTAL: 1092,46|              NAOGERAL   311151900031201005               90</t>
  </si>
  <si>
    <t>|PAGTO DOC - UNIMED ITUVERAVA|PLANO DE SAUDE - UNIMED ITUVERAVA|C CUSTO - 31114|TOTAL: 8135,33|              NAOGERAL   311141900031201005               92</t>
  </si>
  <si>
    <t>|PAGTO DOC - UNIMED ITUVERAVA|PLANO DE SAUDE - UNIMED ITUVERAVA|C CUSTO - 31050|TOTAL: 1158,38|              NAOGERAL   310501900031201005               94</t>
  </si>
  <si>
    <t>|PAGTO DOC - UNIMED ITUVERAVA|PLANO DE SAUDE - UNIMED ITUVERAVA|C CUSTO - 13018|TOTAL: 171,09|               NAOGERAL   130181900031201005               96</t>
  </si>
  <si>
    <t>|PAGTO DOC - UNIMED ITUVERAVA|PLANO DE SAUDE - UNIMED ITUVERAVA|C CUSTO - 21011|TOTAL: 1116,18|              NAOGERAL   210111900031201005               98</t>
  </si>
  <si>
    <t>|PAGTO DOC - UNIMED ITUVERAVA|PLANO DE SAUDE - UNIMED ITUVERAVA|C CUSTO - 31070|TOTAL: 2790,78|              NAOGERAL   310701900031201005              100</t>
  </si>
  <si>
    <t>|PAGTO DOC - UNIMED ITUVERAVA|PLANO DE SAUDE - UNIMED ITUVERAVA|C CUSTO - 55030|TOTAL: 1158,38|              NAOGERAL   550301900031201005              102</t>
  </si>
  <si>
    <t>|PAGTO DOC - UNIMED ITUVERAVA|PLANO DE SAUDE - UNIMED ITUVERAVA|C CUSTO - 31112|TOTAL: 1420,11|              NAOGERAL   311121900031201005              104</t>
  </si>
  <si>
    <t>|PAGTO DOC - UNIMED ITUVERAVA|PLANO DE SAUDE - UNIMED ITUVERAVA|C CUSTO - 31040|TOTAL: 987,29|               NAOGERAL   310401900031201005              106</t>
  </si>
  <si>
    <t>|PAGTO DOC - UNIMED ITUVERAVA|PLANO DE SAUDE - UNIMED ITUVERAVA|C CUSTO - 31300|TOTAL: 750,28|               NAOGERAL   313001900031201005              108</t>
  </si>
  <si>
    <t>|PAGTO DOC - UNIMED ITUVERAVA|PLANO DE SAUDE - UNIMED ITUVERAVA|C CUSTO - 31111|TOTAL: 987,29|               NAOGERAL   311111900031201005              110</t>
  </si>
  <si>
    <t>|PAGTO DOC - UNIMED ITUVERAVA|PLANO DE SAUDE - UNIMED ITUVERAVA|C CUSTO - 21013|TOTAL: 1224,3|               NAOGERAL   210131900031201005              112</t>
  </si>
  <si>
    <t>|PAGTO DOC - UNIMED ITUVERAVA|PLANO DE SAUDE - UNIMED ITUVERAVA|C CUSTO - 33010|TOTAL: 1566,48|              NAOGERAL   330101900031201005              114</t>
  </si>
  <si>
    <t>|PAGTO DOC - UNIMED ITUVERAVA|PLANO DE SAUDE - UNIMED ITUVERAVA|C CUSTO - 14012|TOTAL: 1353,19|              NAOGERAL   140121900031201005              116</t>
  </si>
  <si>
    <t>|PAGTO DOC - UNIMED ITUVERAVA|PLANO DE SAUDE - UNIMED ITUVERAVA|C CUSTO - 55040|TOTAL: 987,29|               NAOGERAL   550401900031201005              118</t>
  </si>
  <si>
    <t>|PAGTO DOC - UNIMED ITUVERAVA|PLANO DE SAUDE - UNIMED ITUVERAVA|C CUSTO - 31091|TOTAL: 987,29|               NAOGERAL   310911900031201005              120</t>
  </si>
  <si>
    <t>|PAGTO DOC - UNIMED ITUVERAVA|PLANO DE SAUDE - UNIMED ITUVERAVA|C CUSTO - 13011|TOTAL: 1249,02|              NAOGERAL   130111900031201005              122</t>
  </si>
  <si>
    <t>|PAGTO DOC - UNIMED ITUVERAVA|PLANO DE SAUDE - UNIMED ITUVERAVA|C CUSTO - 13014|TOTAL: 1224,3|               NAOGERAL   130141900031201005              124</t>
  </si>
  <si>
    <t>|PAGTO DOC - UNIMED ITUVERAVA|PLANO DE SAUDE - UNIMED ITUVERAVA|C CUSTO - 11012|TOTAL: 816,2|                NAOGERAL   110121900031201005              126</t>
  </si>
  <si>
    <t>|PAGTO DOC - UNIMED ITUVERAVA|PLANO DE SAUDE - UNIMED ITUVERAVA|C CUSTO - 13013|TOTAL: 6435,63|              NAOGERAL   130131900031201005              128</t>
  </si>
  <si>
    <t>|PAGTO DOC - UNIMED ITUVERAVA|PLANO DE SAUDE - UNIMED ITUVERAVA|C CUSTO - 31113|TOTAL: 408,1|                NAOGERAL   311131900031201005              130</t>
  </si>
  <si>
    <t>|PAGTO DOC - UNIMED ITUVERAVA|PLANO DE SAUDE - UNIMED ITUVERAVA|C CUSTO - 14059|TOTAL: 1473,62|              NAOGERAL   140591900031201005              132</t>
  </si>
  <si>
    <t>|PAGTO DOC - UNIMED ITUVERAVA|PLANO DE SAUDE - UNIMED ITUVERAVA|C CUSTO - 14052|TOTAL: 1050,18|              NAOGERAL   140521900031201005              134</t>
  </si>
  <si>
    <t>|PAGTO DOC - UNIMED ITUVERAVA|PLANO DE SAUDE - UNIMED ITUVERAVA|C CUSTO - 14051|TOTAL: 4064,17|              NAOGERAL   140511900031201005              136</t>
  </si>
  <si>
    <t>|PAGTO DOC - UNIMED ITUVERAVA|PLANO DE SAUDE - UNIMED ITUVERAVA|C CUSTO - 14060|TOTAL: 1213,68|              NAOGERAL   140601900031201005              138</t>
  </si>
  <si>
    <t>|PAGTO DOC - UNIMED ITUVERAVA|PLANO DE SAUDE - UNIMED ITUVERAVA|C CUSTO - 13019|TOTAL: 579,19|               NAOGERAL   130191900031201005              140</t>
  </si>
  <si>
    <t>|PAGTO DOC - SEGURO DE VIDA EM GRUPO|PLANO DE SAUDE - SEGURO DE VIDA EM GRUPO|C CUSTO - 14060|TOTAL: 91|     NAOGERAL   140601900031201003              142</t>
  </si>
  <si>
    <t>|PAGTO DOC - SEGURO DE VIDA EM GRUPO|PLANO DE SAUDE - SEGURO DE VIDA EM GRUPO|C CUSTO - 13014|TOTAL: 21|     NAOGERAL   130141900031201003              144</t>
  </si>
  <si>
    <t>|PAGTO DOC - SEGURO DE VIDA EM GRUPO|PLANO DE SAUDE - SEGURO DE VIDA EM GRUPO|C CUSTO - 14111|TOTAL: 126|    NAOGERAL   141111900031201003              146</t>
  </si>
  <si>
    <t>|PAGTO DOC - SEGURO DE VIDA EM GRUPO|PLANO DE SAUDE - SEGURO DE VIDA EM GRUPO|C CUSTO - 14116|TOTAL: 168|    NAOGERAL   141161900031201003              148</t>
  </si>
  <si>
    <t>|PAGTO DOC - SEGURO DE VIDA EM GRUPO|PLANO DE SAUDE - SEGURO DE VIDA EM GRUPO|C CUSTO - 13018|TOTAL: 14|     NAOGERAL   130181900031201003              150</t>
  </si>
  <si>
    <t>|PAGTO DOC - SEGURO DE VIDA EM GRUPO|PLANO DE SAUDE - SEGURO DE VIDA EM GRUPO|C CUSTO - 33050|TOTAL: 84|     NAOGERAL   330501900031201003              152</t>
  </si>
  <si>
    <t>|PAGTO DOC - SEGURO DE VIDA EM GRUPO|PLANO DE SAUDE - SEGURO DE VIDA EM GRUPO|C CUSTO - 31080|TOTAL: 252|    NAOGERAL   310801900031201003              154</t>
  </si>
  <si>
    <t>|PAGTO DOC - SEGURO DE VIDA EM GRUPO|PLANO DE SAUDE - SEGURO DE VIDA EM GRUPO|C CUSTO - 13011|TOTAL: 21|     NAOGERAL   130111900031201003              156</t>
  </si>
  <si>
    <t>|PAGTO DOC - SEGURO DE VIDA EM GRUPO|PLANO DE SAUDE - SEGURO DE VIDA EM GRUPO|C CUSTO - 14112|TOTAL: 35|     NAOGERAL   141121900031201003              158</t>
  </si>
  <si>
    <t>|PAGTO DOC - SEGURO DE VIDA EM GRUPO|PLANO DE SAUDE - SEGURO DE VIDA EM GRUPO|C CUSTO - 14113|TOTAL: 168|    NAOGERAL   141131900031201003              160</t>
  </si>
  <si>
    <t>|PAGTO DOC - SEGURO DE VIDA EM GRUPO|PLANO DE SAUDE - SEGURO DE VIDA EM GRUPO|C CUSTO - 14056|TOTAL: 154|    NAOGERAL   140561900031201003              162</t>
  </si>
  <si>
    <t>|PAGTO DOC - SEGURO DE VIDA EM GRUPO|PLANO DE SAUDE - SEGURO DE VIDA EM GRUPO|C CUSTO - 33010|TOTAL: 161|    NAOGERAL   330101900031201003              164</t>
  </si>
  <si>
    <t>|PAGTO DOC - SEGURO DE VIDA EM GRUPO|PLANO DE SAUDE - SEGURO DE VIDA EM GRUPO|C CUSTO - 33040|TOTAL: 134,72| NAOGERAL   330401900031201003              166</t>
  </si>
  <si>
    <t>|PAGTO DOC - SEGURO DE VIDA EM GRUPO|PLANO DE SAUDE - SEGURO DE VIDA EM GRUPO|C CUSTO - 31090|TOTAL: 259|    NAOGERAL   310901900031201003              168</t>
  </si>
  <si>
    <t>|PAGTO DOC - SEGURO DE VIDA EM GRUPO|PLANO DE SAUDE - SEGURO DE VIDA EM GRUPO|C CUSTO - 14119|TOTAL: 168|    NAOGERAL   141191900031201003              170</t>
  </si>
  <si>
    <t>|PAGTO DOC - SEGURO DE VIDA EM GRUPO|PLANO DE SAUDE - SEGURO DE VIDA EM GRUPO|C CUSTO - 13016|TOTAL: 35|     NAOGERAL   130161900031201003              172</t>
  </si>
  <si>
    <t>|PAGTO DOC - SEGURO DE VIDA EM GRUPO|PLANO DE SAUDE - SEGURO DE VIDA EM GRUPO|C CUSTO - 31060|TOTAL: 378|    NAOGERAL   310601900031201003              174</t>
  </si>
  <si>
    <t>|PAGTO DOC - SEGURO DE VIDA EM GRUPO|PLANO DE SAUDE - SEGURO DE VIDA EM GRUPO|C CUSTO - 11012|TOTAL: 78,72|  NAOGERAL   110121900031201003              176</t>
  </si>
  <si>
    <t>|PAGTO DOC - SEGURO DE VIDA EM GRUPO|PLANO DE SAUDE - SEGURO DE VIDA EM GRUPO|C CUSTO - 31114|TOTAL: 280|    NAOGERAL   311141900031201003              178</t>
  </si>
  <si>
    <t>|PAGTO DOC - SEGURO DE VIDA EM GRUPO|PLANO DE SAUDE - SEGURO DE VIDA EM GRUPO|C CUSTO - 14120|TOTAL: 84|     NAOGERAL   141201900031201003              180</t>
  </si>
  <si>
    <t>|PAGTO DOC - SEGURO DE VIDA EM GRUPO|PLANO DE SAUDE - SEGURO DE VIDA EM GRUPO|C CUSTO - 33100|TOTAL: 28|     NAOGERAL   331001900031201003              182</t>
  </si>
  <si>
    <t>|PAGTO DOC - SEGURO DE VIDA EM GRUPO|PLANO DE SAUDE - SEGURO DE VIDA EM GRUPO|C CUSTO - 31050|TOTAL: 35|     NAOGERAL   310501900031201003              184</t>
  </si>
  <si>
    <t>|PAGTO DOC - SEGURO DE VIDA EM GRUPO|PLANO DE SAUDE - SEGURO DE VIDA EM GRUPO|C CUSTO - 21011|TOTAL: 84|     NAOGERAL   210111900031201003              186</t>
  </si>
  <si>
    <t>|PAGTO DOC - SEGURO DE VIDA EM GRUPO|PLANO DE SAUDE - SEGURO DE VIDA EM GRUPO|C CUSTO - 13017|TOTAL: 42|     NAOGERAL   130171900031201003              188</t>
  </si>
  <si>
    <t>|PAGTO DOC - SEGURO DE VIDA EM GRUPO|PLANO DE SAUDE - SEGURO DE VIDA EM GRUPO|C CUSTO - 31115|TOTAL: 49|     NAOGERAL   311151900031201003              190</t>
  </si>
  <si>
    <t>|PAGTO DOC - SEGURO DE VIDA EM GRUPO|PLANO DE SAUDE - SEGURO DE VIDA EM GRUPO|C CUSTO - 31070|TOTAL: 70|     NAOGERAL   310701900031201003              192</t>
  </si>
  <si>
    <t>|PAGTO DOC - SEGURO DE VIDA EM GRUPO|PLANO DE SAUDE - SEGURO DE VIDA EM GRUPO|C CUSTO - 21012|TOTAL: 84|     NAOGERAL   210121900031201003              194</t>
  </si>
  <si>
    <t>|PAGTO DOC - SEGURO DE VIDA EM GRUPO|PLANO DE SAUDE - SEGURO DE VIDA EM GRUPO|C CUSTO - 31100|TOTAL: 70|     NAOGERAL   311001900031201003              196</t>
  </si>
  <si>
    <t>|PAGTO DOC - SEGURO DE VIDA EM GRUPO|PLANO DE SAUDE - SEGURO DE VIDA EM GRUPO|C CUSTO - 31091|TOTAL: 21|     NAOGERAL   310911900031201003              198</t>
  </si>
  <si>
    <t>|PAGTO DOC - SEGURO DE VIDA EM GRUPO|PLANO DE SAUDE - SEGURO DE VIDA EM GRUPO|C CUSTO - 55080|TOTAL: 196|    NAOGERAL   550801900031201003              200</t>
  </si>
  <si>
    <t>|PAGTO DOC - SEGURO DE VIDA EM GRUPO|PLANO DE SAUDE - SEGURO DE VIDA EM GRUPO|C CUSTO - 21013|TOTAL: 35|     NAOGERAL   210131900031201003              202</t>
  </si>
  <si>
    <t>|PAGTO DOC - SEGURO DE VIDA EM GRUPO|PLANO DE SAUDE - SEGURO DE VIDA EM GRUPO|C CUSTO - 31200|TOTAL: 119|    NAOGERAL   312001900031201003              204</t>
  </si>
  <si>
    <t>|PAGTO DOC - SEGURO DE VIDA EM GRUPO|PLANO DE SAUDE - SEGURO DE VIDA EM GRUPO|C CUSTO - 14051|TOTAL: 98|     NAOGERAL   140511900031201003              206</t>
  </si>
  <si>
    <t>|PAGTO DOC - SEGURO DE VIDA EM GRUPO|PLANO DE SAUDE - SEGURO DE VIDA EM GRUPO|C CUSTO - 31040|TOTAL: 42|     NAOGERAL   310401900031201003              208</t>
  </si>
  <si>
    <t>|PAGTO DOC - SEGURO DE VIDA EM GRUPO|PLANO DE SAUDE - SEGURO DE VIDA EM GRUPO|C CUSTO - 14012|TOTAL: 112|    NAOGERAL   140121900031201003              210</t>
  </si>
  <si>
    <t>|PAGTO DOC - SEGURO DE VIDA EM GRUPO|PLANO DE SAUDE - SEGURO DE VIDA EM GRUPO|C CUSTO - 31111|TOTAL: 28|     NAOGERAL   311111900031201003              212</t>
  </si>
  <si>
    <t>|PAGTO DOC - SEGURO DE VIDA EM GRUPO|PLANO DE SAUDE - SEGURO DE VIDA EM GRUPO|C CUSTO - 31112|TOTAL: 63|     NAOGERAL   311121900031201003              214</t>
  </si>
  <si>
    <t>|PAGTO DOC - SEGURO DE VIDA EM GRUPO|PLANO DE SAUDE - SEGURO DE VIDA EM GRUPO|C CUSTO - 15012|TOTAL: 125,97| NAOGERAL   150121900031201003              216</t>
  </si>
  <si>
    <t>|PAGTO DOC - SEGURO DE VIDA EM GRUPO|PLANO DE SAUDE - SEGURO DE VIDA EM GRUPO|C CUSTO - 31300|TOTAL: 28|     NAOGERAL   313001900031201003              218</t>
  </si>
  <si>
    <t>|PAGTO DOC - SEGURO DE VIDA EM GRUPO|PLANO DE SAUDE - SEGURO DE VIDA EM GRUPO|C CUSTO - 55040|TOTAL: 42|     NAOGERAL   550401900031201003              220</t>
  </si>
  <si>
    <t>|PAGTO DOC - SEGURO DE VIDA EM GRUPO|PLANO DE SAUDE - SEGURO DE VIDA EM GRUPO|C CUSTO - 55030|TOTAL: 35|     NAOGERAL   550301900031201003              222</t>
  </si>
  <si>
    <t>|PAGTO DOC - SEGURO DE VIDA EM GRUPO|PLANO DE SAUDE - SEGURO DE VIDA EM GRUPO|C CUSTO - 13013|TOTAL: 118,97| NAOGERAL   130131900031201003              224</t>
  </si>
  <si>
    <t>|PAGTO DOC - SEGURO DE VIDA EM GRUPO|PLANO DE SAUDE - SEGURO DE VIDA EM GRUPO|C CUSTO - 11011|TOTAL: 286,88| NAOGERAL   110111900031201003              226</t>
  </si>
  <si>
    <t>|PAGTO DOC - SEGURO DE VIDA EM GRUPO|PLANO DE SAUDE - SEGURO DE VIDA EM GRUPO|C CUSTO - 31113|TOTAL: 7|      NAOGERAL   311131900031201003              228</t>
  </si>
  <si>
    <t>|PAGTO DOC - SEGURO DE VIDA EM GRUPO|PLANO DE SAUDE - SEGURO DE VIDA EM GRUPO|C CUSTO - 13012|TOTAL: 21|     NAOGERAL   130121900031201003              230</t>
  </si>
  <si>
    <t>|PAGTO DOC - SEGURO DE VIDA EM GRUPO|PLANO DE SAUDE - SEGURO DE VIDA EM GRUPO|C CUSTO - 33020|TOTAL: 71,72|  NAOGERAL   330201900031201003              232</t>
  </si>
  <si>
    <t>|PAGTO DOC - SEGURO DE VIDA EM GRUPO|PLANO DE SAUDE - SEGURO DE VIDA EM GRUPO|C CUSTO - 14059|TOTAL: 182|    NAOGERAL   140591900031201003              234</t>
  </si>
  <si>
    <t>|PAGTO DOC - SEGURO DE VIDA EM GRUPO|PLANO DE SAUDE - SEGURO DE VIDA EM GRUPO|C CUSTO - 14055|TOTAL: 28|     NAOGERAL   140551900031201003              236</t>
  </si>
  <si>
    <t>|PAGTO DOC - SEGURO DE VIDA EM GRUPO|PLANO DE SAUDE - SEGURO DE VIDA EM GRUPO|C CUSTO - 11013|TOTAL: 64,72|  NAOGERAL   110131900031201003              238</t>
  </si>
  <si>
    <t>|PAGTO DOC - SEGURO DE VIDA EM GRUPO|PLANO DE SAUDE - SEGURO DE VIDA EM GRUPO|C CUSTO - 11014|TOTAL: 64,72|  NAOGERAL   110141900031201003              240</t>
  </si>
  <si>
    <t>|PAGTO DOC - SEGURO DE VIDA EM GRUPO|PLANO DE SAUDE - SEGURO DE VIDA EM GRUPO|C CUSTO - 14053|TOTAL: 91|     NAOGERAL   140531900031201003              242</t>
  </si>
  <si>
    <t>|PAGTO DOC - SEGURO DE VIDA EM GRUPO|PLANO DE SAUDE - SEGURO DE VIDA EM GRUPO|C CUSTO - 14058|TOTAL: 77|     NAOGERAL   140581900031201003              244</t>
  </si>
  <si>
    <t>|PAGTO DOC - SEGURO DE VIDA EM GRUPO|PLANO DE SAUDE - SEGURO DE VIDA EM GRUPO|C CUSTO - 14052|TOTAL: 42|     NAOGERAL   140521900031201003              246</t>
  </si>
  <si>
    <t>|PAGTO DOC - SEGURO DE VIDA EM GRUPO|PLANO DE SAUDE - SEGURO DE VIDA EM GRUPO|C CUSTO - 14050|TOTAL: 21|     NAOGERAL   140501900031201003              248</t>
  </si>
  <si>
    <t>|PAGTO DOC - SEGURO DE VIDA EM GRUPO|PLANO DE SAUDE - SEGURO DE VIDA EM GRUPO|C CUSTO - 13019|TOTAL: 21|     NAOGERAL   130191900031201003              250</t>
  </si>
  <si>
    <t>|PAGTO DOC - SEGURO DE VIDA EM GRUPO|PLANO DE SAUDE - SEGURO DE VIDA EM GRUPO|C CUSTO - 31311|TOTAL: 14|     NAOGERAL   313111900031201003              252</t>
  </si>
  <si>
    <t>|PAGTO DOC - SEGURO DE VIDA EM GRUPO|PLANO DE SAUDE - SEGURO DE VIDA EM GRUPO|C CUSTO - 31311|TOTAL: 61,25|  NAOGERAL   313111900031201003              254</t>
  </si>
  <si>
    <t>|PAGTO DOC - SEGURO DE VIDA EM GRUPO|PLANO DE SAUDE - SEGURO DE VIDA EM GRUPO|C CUSTO - 31311|TOTAL: 14|     NAOGERAL   313111900031201003              256</t>
  </si>
  <si>
    <t>|PAGTO DOC - SEGURO DE VIDA EM GRUPO|PLANO DE SAUDE - SEGURO DE VIDA EM GRUPO|C CUSTO - 31311|TOTAL: 112|    NAOGERAL   313111900031201003              258</t>
  </si>
  <si>
    <t>|PAGTO DOC - SEGURO DE VIDA EM GRUPO|PLANO DE SAUDE - SEGURO DE VIDA EM GRUPO|C CUSTO - 31311|TOTAL: 7|      NAOGERAL   313111900031201003              260</t>
  </si>
  <si>
    <t>|PAGTO DOC - SEGURO DE VIDA EM GRUPO|PLANO DE SAUDE - SEGURO DE VIDA EM GRUPO|C CUSTO - 14110|TOTAL: 7|      NAOGERAL   141101900031201003              262</t>
  </si>
  <si>
    <t>ESTAB</t>
  </si>
  <si>
    <t>Data</t>
  </si>
  <si>
    <t>Estab</t>
  </si>
  <si>
    <t>Crédito</t>
  </si>
  <si>
    <t>Contra Partida</t>
  </si>
  <si>
    <t xml:space="preserve"> </t>
  </si>
  <si>
    <t>PLANILHA</t>
  </si>
  <si>
    <t>Conta</t>
  </si>
  <si>
    <t>Centro Custo</t>
  </si>
  <si>
    <t>UNeg</t>
  </si>
  <si>
    <t>Data Trans</t>
  </si>
  <si>
    <t>Depósito</t>
  </si>
  <si>
    <t>Espécie</t>
  </si>
  <si>
    <t>Série</t>
  </si>
  <si>
    <t>Documento</t>
  </si>
  <si>
    <t>Emitente</t>
  </si>
  <si>
    <t>Num Ordem</t>
  </si>
  <si>
    <t>Item</t>
  </si>
  <si>
    <t>UM</t>
  </si>
  <si>
    <t>Qtde</t>
  </si>
  <si>
    <t>Total</t>
  </si>
  <si>
    <t>Débito</t>
  </si>
  <si>
    <t>Narrativa:</t>
  </si>
  <si>
    <t>Descrição Item</t>
  </si>
  <si>
    <t>Nome Abrev</t>
  </si>
  <si>
    <t>SORRISO ODONTO</t>
  </si>
  <si>
    <t>UNIMED ODONTO</t>
  </si>
  <si>
    <t>EST</t>
  </si>
  <si>
    <t>Plano Contas</t>
  </si>
  <si>
    <t>Conta Contábil</t>
  </si>
  <si>
    <t>Transação</t>
  </si>
  <si>
    <t>Referência</t>
  </si>
  <si>
    <t>Fornecedor</t>
  </si>
  <si>
    <t>Nome Abreviado</t>
  </si>
  <si>
    <t>Estab.</t>
  </si>
  <si>
    <t>Plano de Centro de Custo</t>
  </si>
  <si>
    <t>CCusto</t>
  </si>
  <si>
    <t>Esp</t>
  </si>
  <si>
    <t>Parcela</t>
  </si>
  <si>
    <t>Portador</t>
  </si>
  <si>
    <t>Número Cheque</t>
  </si>
  <si>
    <t>Valor DB</t>
  </si>
  <si>
    <t>Valor CR</t>
  </si>
  <si>
    <t>Histor</t>
  </si>
  <si>
    <t>APB + CE0403</t>
  </si>
  <si>
    <t>X</t>
  </si>
  <si>
    <t>Z</t>
  </si>
  <si>
    <t>SEGURO UNIMED</t>
  </si>
  <si>
    <t>UNIMED CAPIXABA</t>
  </si>
  <si>
    <t>11012</t>
  </si>
  <si>
    <t>13011</t>
  </si>
  <si>
    <t>13012</t>
  </si>
  <si>
    <t>13013</t>
  </si>
  <si>
    <t>13014</t>
  </si>
  <si>
    <t>13016</t>
  </si>
  <si>
    <t>13018</t>
  </si>
  <si>
    <t>14012</t>
  </si>
  <si>
    <t>14051</t>
  </si>
  <si>
    <t>14052</t>
  </si>
  <si>
    <t>14058</t>
  </si>
  <si>
    <t>15012</t>
  </si>
  <si>
    <t>21011</t>
  </si>
  <si>
    <t>21012</t>
  </si>
  <si>
    <t>31040</t>
  </si>
  <si>
    <t>31060</t>
  </si>
  <si>
    <t>31070</t>
  </si>
  <si>
    <t>31090</t>
  </si>
  <si>
    <t>31111</t>
  </si>
  <si>
    <t>31112</t>
  </si>
  <si>
    <t>31114</t>
  </si>
  <si>
    <t>31116</t>
  </si>
  <si>
    <t>31200</t>
  </si>
  <si>
    <t>33010</t>
  </si>
  <si>
    <t>33050</t>
  </si>
  <si>
    <t>33060</t>
  </si>
  <si>
    <t>11011</t>
  </si>
  <si>
    <t>11013</t>
  </si>
  <si>
    <t>14050</t>
  </si>
  <si>
    <t>14056</t>
  </si>
  <si>
    <t>15056</t>
  </si>
  <si>
    <t>15058</t>
  </si>
  <si>
    <t>31113</t>
  </si>
  <si>
    <t>32001</t>
  </si>
  <si>
    <t>32002</t>
  </si>
  <si>
    <t>32003</t>
  </si>
  <si>
    <t>32007</t>
  </si>
  <si>
    <t>32100</t>
  </si>
  <si>
    <t>34001</t>
  </si>
  <si>
    <t>22002</t>
  </si>
  <si>
    <t>15059</t>
  </si>
  <si>
    <t>3.1.55.01.09</t>
  </si>
  <si>
    <t>1</t>
  </si>
  <si>
    <t>101</t>
  </si>
  <si>
    <t>DIR</t>
  </si>
  <si>
    <t>NFE</t>
  </si>
  <si>
    <t>50337</t>
  </si>
  <si>
    <t xml:space="preserve">     0.00</t>
  </si>
  <si>
    <t>DD-014</t>
  </si>
  <si>
    <t>UN</t>
  </si>
  <si>
    <t>GASTOS COM CONVENIO MEDICO</t>
  </si>
  <si>
    <t>UNIDENT</t>
  </si>
  <si>
    <t>BOL</t>
  </si>
  <si>
    <t>455354</t>
  </si>
  <si>
    <t>DD-404</t>
  </si>
  <si>
    <t>FATURA | CONVÊNIO MÉDICO</t>
  </si>
  <si>
    <t>UNIMED SEG.</t>
  </si>
  <si>
    <t>53525</t>
  </si>
  <si>
    <t>UNIMED ODONT</t>
  </si>
  <si>
    <t>FAT</t>
  </si>
  <si>
    <t>50426</t>
  </si>
  <si>
    <t>UNIMED ITUV</t>
  </si>
  <si>
    <t>52915</t>
  </si>
  <si>
    <t>SEGUROS UNIM</t>
  </si>
  <si>
    <t>104</t>
  </si>
  <si>
    <t>469185</t>
  </si>
  <si>
    <t>UNIMED NORT</t>
  </si>
  <si>
    <t>106</t>
  </si>
  <si>
    <t>13017</t>
  </si>
  <si>
    <t>13019</t>
  </si>
  <si>
    <t>13021</t>
  </si>
  <si>
    <t>15051</t>
  </si>
  <si>
    <t>21013</t>
  </si>
  <si>
    <t>31100</t>
  </si>
  <si>
    <t>31115</t>
  </si>
  <si>
    <t>31300</t>
  </si>
  <si>
    <t>33040</t>
  </si>
  <si>
    <t>55030</t>
  </si>
  <si>
    <t>15050</t>
  </si>
  <si>
    <t>0012692</t>
  </si>
  <si>
    <t>6313020</t>
  </si>
  <si>
    <t>0000499</t>
  </si>
  <si>
    <t>0000500</t>
  </si>
  <si>
    <t>0000501</t>
  </si>
  <si>
    <t>0000502</t>
  </si>
  <si>
    <t>5160060</t>
  </si>
  <si>
    <t>5160061</t>
  </si>
  <si>
    <t>5160062</t>
  </si>
  <si>
    <t>5160063</t>
  </si>
  <si>
    <t>5160064</t>
  </si>
  <si>
    <t>1422187</t>
  </si>
  <si>
    <t>6317465</t>
  </si>
  <si>
    <t>0455227</t>
  </si>
  <si>
    <t>1411483</t>
  </si>
  <si>
    <t>6317464</t>
  </si>
  <si>
    <t>0455228</t>
  </si>
  <si>
    <t>1411484</t>
  </si>
  <si>
    <t>NOSSO PAGAMENTO REFERENTE AO PLANO DE ASSISTENCIA ODONTOLOGICA DOS COLABORADORES DE ITUVERAVA - ESTABELECIMENTO 101 | DOCUMENTO ENVIADO POR E-MAIL PELA AMANDA (RH) NO DIA 05/08/2026.</t>
  </si>
  <si>
    <t>NOSSO PAGAMENTO REFERENTE AO PLANO DE SAÚDE UNIMED ODONTO DOS COLABORADORES DA MATRIZ SANTA MARIA | DOCUMENTO ENVIADO POR E-MAIL POR AMANDA TEIXEIRA (RH) NO DIA 11/08/2026</t>
  </si>
  <si>
    <t>PAGAMENTO MENSAL DE CONVÊNIO MÉDICO COLETIVO EMPRESARIAL DA COMPETÊNCIA 08/2026 | CONFORME DEMONSTRATIVO DE FATURA N° 2600005172.01/000499 MODALIDADE/CONTRATO N° 000041 | DOCUMENTO ENVIADO POR AMANDA TEIXEIRA VIA E-MAIL NO DIA 11/08/2026 | NÚMERO DE ORIGEM DESTE LANÇAMENTO: NUMERO DA FATURA ENVIADA.</t>
  </si>
  <si>
    <t>PAGAMENTO MENSAL DE CONVÊNIO MÉDICO COLETIVO EMPRESARIAL DA COMPETÊNCIA 08/2026 | CONFORME DEMONSTRATIVO DE FATURA N° 2600005173.01/000500 MODALIDADE/CONTRATO N° 000048 | DOCUMENTO ENVIADO POR AMANDA TEIXEIRA VIA E-MAIL NO DIA 11/08/2026 | NÚMERO DE ORIGEM DESTE LANÇAMENTO: NUMERO DA FATURA ENVIADA.</t>
  </si>
  <si>
    <t>PAGAMENTO MENSAL DE CONVÊNIO MÉDICO COLETIVO EMPRESARIAL DA COMPETÊNCIA 08/2026 | CONFORME DEMONSTRATIVO DE FATURA N° 2600005174.01/000501 MODALIDADE/CONTRATO N° 000242 | DOCUMENTO ENVIADO POR AMANDA TEIXEIRA VIA E-MAIL NO DIA 11/08/2026 | NÚMERO DE ORIGEM DESTE LANÇAMENTO: NUMERO DA FATURA ENVIADA.</t>
  </si>
  <si>
    <t>PAGAMENTO MENSAL DE CONVÊNIO MÉDICO COLETIVO EMPRESARIAL DA COMPETÊNCIA 08/2026 | CONFORME DEMONSTRATIVO DE FATURA N° 2600005175.01/000502 MODALIDADE/CONTRATO N° 000271 | DOCUMENTO ENVIADO POR AMANDA TEIXEIRA VIA E-MAIL NO DIA 11/08/2026 | NÚMERO DE ORIGEM DESTE LANÇAMENTO: NUMERO DA FATURA ENVIADA.</t>
  </si>
  <si>
    <t>NOSSO PAGAMENTO MENSAL REFERENTE AO SEGURO UNIMED CORPORATIVO SENIOR APTO (FR - TREINAMENTO PROFISSIONAL LTDA) | CONFORME APÓLICE N° 8771499 AGENTE: 994, PERÍODO DE VIGÊNCIA: 01/08/2026 A 31/08/2026 | DOCUMENTO ENVIADO POR AMANDA TEIXEIRA VIA E-MAIL NO DIA 11/08/2026 | NUMERO DE ORIGEM DESTE LANÇAMENTO: NÚMERO DA FATURA RECEBIDA.</t>
  </si>
  <si>
    <t>NOSSO PAGAMENTO MENSAL REFERENTE AO SEGURO UNIMED CORPORATIVO SENIOR APTO (UTILIHOUSE REPRESENTAÇAO DE UTILIDADES DOMESTICAS LTDA) | CONFORME APÓLICE N° 8771499 AGENTE: 994, PERÍODO DE VIGÊNCIA: 01/08/2026 A 31/08/2026 | DOCUMENTO ENVIADO POR AMANDA TEIXEIRA VIA E-MAIL NO DIA 11/08/2026 | NUMERO DE ORIGEM DESTE LANÇAMENTO: NÚMERO DA FATURA RECEBIDA.</t>
  </si>
  <si>
    <t>NOSSO PAGAMENTO MENSAL REFERENTE AO SEGURO UNIMED CORPORATIVO COMPACTO ENF (CARLOS ROBERTO REAL ORSATTI) | CONFORME APÓLICE N° 8771499 AGENTE: 994, PERÍODO DE VIGÊNCIA: 01/08/2026 A 31/08/2026 | DOCUMENTO ENVIADO POR AMANDA TEIXEIRA VIA E-MAIL NO DIA 11/08/2026 | NUMERO DE ORIGEM DESTE LANÇAMENTO: NÚMERO DA FATURA RECEBIDA.</t>
  </si>
  <si>
    <t>NOSSO PAGAMENTO MENSAL REFERENTE AO SEGURO UNIMED CORPORATIVO COMPACTO ENF E CORPORATIVO SENIOR APTO (IND E COM SANTA MARIA LTDA) | CONFORME APÓLICE N° 8771499 AGENTE: 994, PERÍODO DE VIGÊNCIA: 01/08/2026 A 31/08/2026 | DOCUMENTO ENVIADO POR AMANDA TEIXEIRA VIA E-MAIL NO DIA 11/08/2026 | NUMERO DE ORIGEM DESTE LANÇAMENTO: NÚMERO DA FATURA RECEBIDA.</t>
  </si>
  <si>
    <t>NOSSO PAGAMENTO MENSAL REFERENTE AO SEGURO UNIMED CORPORATIVO SENIOR APTO (BRANCO E ORSATTI - TREINAMENTO PROFISSIONAL LTDA) | CONFORME APÓLICE N° 8771499 AGENTE: 994, PERÍODO DE VIGÊNCIA: 01/08/2026 A 31/08/2026 | DOCUMENTO ENVIADO POR AMANDA TEIXEIRA VIA E-MAIL NO DIA 11/08/2026 | NUMERO DE ORIGEM DESTE LANÇAMENTO: NÚMERO DA FATURA RECEBIDA.</t>
  </si>
  <si>
    <t>NOSSO PAGAMENTO REFERENTE AO SEGURO DE VIDA DOS COLABORADORES DA MATRIZ SANTA MARIA | COMPETÊNCIA 08/2026 | DOCUMENTO ENVIADO POR LINDOMAR GONÇALVES (RH) EM 17/08/2026 VIA E-MAIL | NÚMERO DE ORIGEM DESTE LANÇAMENTO: NÚMERO DO DOCUMENTO PRESENTE NO BOLETO (2601422187).</t>
  </si>
  <si>
    <t>NOSSO PAGAMENTO REFERENTE AO PLANO DE SAÚDE UNIMED ODONTO DOS COLABORADORES DE LINHARES - ESTABELECIMENTO 104 | DOCUMENTO ENVIADO POR E-MAIL PELA LAYANE FERREIRA (RH) NO DIA 04/08/2026.</t>
  </si>
  <si>
    <t>NOSSO PAGAMENTO REFERENTE AO PLANO DE SAÚDE UNIMED NORTE CAPIXABA DOS COLABORADORES DE LINHARES - ESTABELECIMENTO 104 | DOCUMENTO ENVIADO POR E-MAIL PELA LAYANE FERREIRA (RH) NO DIA 05/08/2026.</t>
  </si>
  <si>
    <t>NOSSO PAGAMENTO REFERENTE AO SEGURO DE VIDA DOS COLABORADORES DA FILIAL 104 SANTA MARIA | COMPETÊNCIA 08/2026 | DOCUMENTO ENVIADO POR LINDOMAR GONÇALVES (RH) EM 05/08/2026 VIA E-MAIL | NÚMERO DE ORIGEM DESTE LANÇAMENTO: NÚMERO DO DOCUMENTO PRESENTE NO BOLETO (2601411483).</t>
  </si>
  <si>
    <t>NOSSO PAGAMENTO REFERENTE AO PLANO DE SAÚDE UNIMED ODONTO DOS COLABORADORES DE LINHARES - ESTABELECIMENTO 106 | DOCUMENTO ENVIADO POR E-MAIL PELA LAYANE FERREIRA (RH) NO DIA 04/08/2026.</t>
  </si>
  <si>
    <t>NOSSO PAGAMENTO REFERENTE AO PLANO DE SAÚDE UNIMED NORTE CAPIXABA DOS COLABORADORES DE LINHARES - ESTABELECIMENTO 106 | DOCUMENTO ENVIADO POR E-MAIL PELA LAYANE FERREIRA (RH) NO DIA 05/08/2026.</t>
  </si>
  <si>
    <t>NOSSO PAGAMENTO REFERENTE AO SEGURO DE VIDA DOS COLABORADORES DA FILIAL 106 SANTA MARIA | COMPETÊNCIA 08/2026 | DOCUMENTO ENVIADO POR LINDOMAR GONÇALVES (RH) EM 05/08/2026 VIA E-MAIL | NÚMERO DE ORIGEM DESTE LANÇAMENTO: NÚMERO DO DOCUMENTO PRESENTE NO BOLETO (2601411484).</t>
  </si>
  <si>
    <t>PLANO MÊS 08/2026</t>
  </si>
  <si>
    <t>|PAGTO DOC - UNIMED ITUVERAVA|PLANO DE SAUDE - UNIMED ITUVERAVA|C CUSTO - 13021|TOTAL: 546,96|</t>
  </si>
  <si>
    <t>|PAGTO DOC - UNIMED ITUVERAVA|PLANO DE SAUDE - UNIMED ITUVERAVA|C CUSTO - 14051|TOTAL: 2161,26|</t>
  </si>
  <si>
    <t>|PAGTO DOC - UNIMED ITUVERAVA|PLANO DE SAUDE - UNIMED ITUVERAVA|C CUSTO - 14058|TOTAL: 2014,32|</t>
  </si>
  <si>
    <t>|PAGTO DOC - UNIMED ITUVERAVA|PLANO DE SAUDE - UNIMED ITUVERAVA|C CUSTO - 31060|TOTAL: 546,96|</t>
  </si>
  <si>
    <t>|PAGTO DOC - UNIMED ITUVERAVA|PLANO DE SAUDE - UNIMED ITUVERAVA|C CUSTO - 31070|TOTAL: 546,96|</t>
  </si>
  <si>
    <t>|PAGTO DOC - UNIMED ITUVERAVA|PLANO DE SAUDE - UNIMED ITUVERAVA|C CUSTO - 31114|TOTAL: 2417,14|</t>
  </si>
  <si>
    <t>|PAGTO DOC - UNIMED ITUVERAVA|PLANO DE SAUDE - UNIMED ITUVERAVA|C CUSTO - 11012|TOTAL: 1093,92|</t>
  </si>
  <si>
    <t>|PAGTO DOC - UNIMED ITUVERAVA|PLANO DE SAUDE - UNIMED ITUVERAVA|C CUSTO - 13011|TOTAL: 1323,22|</t>
  </si>
  <si>
    <t>|PAGTO DOC - UNIMED ITUVERAVA|PLANO DE SAUDE - UNIMED ITUVERAVA|C CUSTO - 13012|TOTAL: 1005,56|</t>
  </si>
  <si>
    <t>|PAGTO DOC - UNIMED ITUVERAVA|PLANO DE SAUDE - UNIMED ITUVERAVA|C CUSTO - 13013|TOTAL: 8067,44|</t>
  </si>
  <si>
    <t>|PAGTO DOC - UNIMED ITUVERAVA|PLANO DE SAUDE - UNIMED ITUVERAVA|C CUSTO - 13014|TOTAL: 2187,84|</t>
  </si>
  <si>
    <t>|PAGTO DOC - UNIMED ITUVERAVA|PLANO DE SAUDE - UNIMED ITUVERAVA|C CUSTO - 13016|TOTAL: 1464,16|</t>
  </si>
  <si>
    <t>|PAGTO DOC - UNIMED ITUVERAVA|PLANO DE SAUDE - UNIMED ITUVERAVA|C CUSTO - 13017|TOTAL: 1640,88|</t>
  </si>
  <si>
    <t>|PAGTO DOC - UNIMED ITUVERAVA|PLANO DE SAUDE - UNIMED ITUVERAVA|C CUSTO - 13018|TOTAL: 1005,56|</t>
  </si>
  <si>
    <t>|PAGTO DOC - UNIMED ITUVERAVA|PLANO DE SAUDE - UNIMED ITUVERAVA|C CUSTO - 13019|TOTAL: 776,26|</t>
  </si>
  <si>
    <t>|PAGTO DOC - UNIMED ITUVERAVA|PLANO DE SAUDE - UNIMED ITUVERAVA|C CUSTO - 13021|TOTAL: 2646,44|</t>
  </si>
  <si>
    <t>|PAGTO DOC - UNIMED ITUVERAVA|PLANO DE SAUDE - UNIMED ITUVERAVA|C CUSTO - 14012|TOTAL: 1870,18|</t>
  </si>
  <si>
    <t>|PAGTO DOC - UNIMED ITUVERAVA|PLANO DE SAUDE - UNIMED ITUVERAVA|C CUSTO - 14051|TOTAL: 2707,02|</t>
  </si>
  <si>
    <t>|PAGTO DOC - UNIMED ITUVERAVA|PLANO DE SAUDE - UNIMED ITUVERAVA|C CUSTO - 15051|TOTAL: 229,3|</t>
  </si>
  <si>
    <t>|PAGTO DOC - UNIMED ITUVERAVA|PLANO DE SAUDE - UNIMED ITUVERAVA|C CUSTO - 21011|TOTAL: 458,6|</t>
  </si>
  <si>
    <t>|PAGTO DOC - UNIMED ITUVERAVA|PLANO DE SAUDE - UNIMED ITUVERAVA|C CUSTO - 21012|TOTAL: 3652|</t>
  </si>
  <si>
    <t>|PAGTO DOC - UNIMED ITUVERAVA|PLANO DE SAUDE - UNIMED ITUVERAVA|C CUSTO - 21013|TOTAL: 1093,92|</t>
  </si>
  <si>
    <t>|PAGTO DOC - UNIMED ITUVERAVA|PLANO DE SAUDE - UNIMED ITUVERAVA|C CUSTO - 31040|TOTAL: 1968,24|</t>
  </si>
  <si>
    <t>|PAGTO DOC - UNIMED ITUVERAVA|PLANO DE SAUDE - UNIMED ITUVERAVA|C CUSTO - 31060|TOTAL: 16599,68|</t>
  </si>
  <si>
    <t>|PAGTO DOC - UNIMED ITUVERAVA|PLANO DE SAUDE - UNIMED ITUVERAVA|C CUSTO - 31070|TOTAL: 2558,08|</t>
  </si>
  <si>
    <t>|PAGTO DOC - UNIMED ITUVERAVA|PLANO DE SAUDE - UNIMED ITUVERAVA|C CUSTO - 31090|TOTAL: 10091,38|</t>
  </si>
  <si>
    <t>|PAGTO DOC - UNIMED ITUVERAVA|PLANO DE SAUDE - UNIMED ITUVERAVA|C CUSTO - 31100|TOTAL: 2240,42|</t>
  </si>
  <si>
    <t>|PAGTO DOC - UNIMED ITUVERAVA|PLANO DE SAUDE - UNIMED ITUVERAVA|C CUSTO - 31111|TOTAL: 1324,85|</t>
  </si>
  <si>
    <t>|PAGTO DOC - UNIMED ITUVERAVA|PLANO DE SAUDE - UNIMED ITUVERAVA|C CUSTO - 31112|TOTAL: 2646,44|</t>
  </si>
  <si>
    <t>|PAGTO DOC - UNIMED ITUVERAVA|PLANO DE SAUDE - UNIMED ITUVERAVA|C CUSTO - 31114|TOTAL: 7674,24|</t>
  </si>
  <si>
    <t>|PAGTO DOC - UNIMED ITUVERAVA|PLANO DE SAUDE - UNIMED ITUVERAVA|C CUSTO - 31115|TOTAL: 776,26|</t>
  </si>
  <si>
    <t>|PAGTO DOC - UNIMED ITUVERAVA|PLANO DE SAUDE - UNIMED ITUVERAVA|C CUSTO - 31116|TOTAL: 2099,48|</t>
  </si>
  <si>
    <t>|PAGTO DOC - UNIMED ITUVERAVA|PLANO DE SAUDE - UNIMED ITUVERAVA|C CUSTO - 31200|TOTAL: 2558,08|</t>
  </si>
  <si>
    <t>|PAGTO DOC - UNIMED ITUVERAVA|PLANO DE SAUDE - UNIMED ITUVERAVA|C CUSTO - 31300|TOTAL: 1323,22|</t>
  </si>
  <si>
    <t>|PAGTO DOC - UNIMED ITUVERAVA|PLANO DE SAUDE - UNIMED ITUVERAVA|C CUSTO - 33010|TOTAL: 7916,03|</t>
  </si>
  <si>
    <t>|PAGTO DOC - UNIMED ITUVERAVA|PLANO DE SAUDE - UNIMED ITUVERAVA|C CUSTO - 33040|TOTAL: 1323,22|</t>
  </si>
  <si>
    <t>|PAGTO DOC - UNIMED ITUVERAVA|PLANO DE SAUDE - UNIMED ITUVERAVA|C CUSTO - 33050|TOTAL: 3740,36|</t>
  </si>
  <si>
    <t>|PAGTO DOC - UNIMED ITUVERAVA|PLANO DE SAUDE - UNIMED ITUVERAVA|C CUSTO - 33060|TOTAL: 4287,32|</t>
  </si>
  <si>
    <t>|PAGTO DOC - UNIMED ITUVERAVA|PLANO DE SAUDE - UNIMED ITUVERAVA|C CUSTO - 55030|TOTAL: 546,96|</t>
  </si>
  <si>
    <t>|PAGTO DOC - UNIMED ITUVERAVA|PLANO DE SAUDE - UNIMED ITUVERAVA|C CUSTO - 21012|TOTAL: 229,3|</t>
  </si>
  <si>
    <t>|PAGTO DOC - UNIMED ITUVERAVA|PLANO DE SAUDE - UNIMED ITUVERAVA|C CUSTO - 31090|TOTAL: 546,96|</t>
  </si>
  <si>
    <t>|PAGTO DOC - UNIMED ITUVERAVA|PLANO DE SAUDE - UNIMED ITUVERAVA|C CUSTO - 13016|TOTAL: 229,3|</t>
  </si>
  <si>
    <t>|PAGTO DOC - UNIMED ITUVERAVA|PLANO DE SAUDE - UNIMED ITUVERAVA|C CUSTO - 33050|TOTAL: 546,96|</t>
  </si>
  <si>
    <t>|PAGTO DOC - UNIMED ITUVERAVA|PLANO DE SAUDE - UNIMED ITUVERAVA|C CUSTO - 21011|TOTAL: 229,3|</t>
  </si>
  <si>
    <t>|PAGTO DOC - SEGURO DE VIDA EM GRUPO|PLANO DE SAUDE - SEGURO DE VIDA EM GRUPO|C CUSTO - 11011|TOTAL: 74,15|</t>
  </si>
  <si>
    <t>|PAGTO DOC - SEGURO DE VIDA EM GRUPO|PLANO DE SAUDE - SEGURO DE VIDA EM GRUPO|C CUSTO - 13013|TOTAL: 8,04|</t>
  </si>
  <si>
    <t>|PAGTO DOC - SEGURO DE VIDA EM GRUPO|PLANO DE SAUDE - SEGURO DE VIDA EM GRUPO|C CUSTO - 13014|TOTAL: 74,15|</t>
  </si>
  <si>
    <t>|PAGTO DOC - SEGURO DE VIDA EM GRUPO|PLANO DE SAUDE - SEGURO DE VIDA EM GRUPO|C CUSTO - 14050|TOTAL: 72,36|</t>
  </si>
  <si>
    <t>|PAGTO DOC - SEGURO DE VIDA EM GRUPO|PLANO DE SAUDE - SEGURO DE VIDA EM GRUPO|C CUSTO - 14051|TOTAL: 201|</t>
  </si>
  <si>
    <t>|PAGTO DOC - SEGURO DE VIDA EM GRUPO|PLANO DE SAUDE - SEGURO DE VIDA EM GRUPO|C CUSTO - 14052|TOTAL: 88,44|</t>
  </si>
  <si>
    <t>|PAGTO DOC - SEGURO DE VIDA EM GRUPO|PLANO DE SAUDE - SEGURO DE VIDA EM GRUPO|C CUSTO - 14054|TOTAL: 90,23|</t>
  </si>
  <si>
    <t>|PAGTO DOC - SEGURO DE VIDA EM GRUPO|PLANO DE SAUDE - SEGURO DE VIDA EM GRUPO|C CUSTO - 14056|TOTAL: 64,32|</t>
  </si>
  <si>
    <t>|PAGTO DOC - SEGURO DE VIDA EM GRUPO|PLANO DE SAUDE - SEGURO DE VIDA EM GRUPO|C CUSTO - 14058|TOTAL: 209,04|</t>
  </si>
  <si>
    <t>|PAGTO DOC - SEGURO DE VIDA EM GRUPO|PLANO DE SAUDE - SEGURO DE VIDA EM GRUPO|C CUSTO - 14062|TOTAL: 8,04|</t>
  </si>
  <si>
    <t>|PAGTO DOC - SEGURO DE VIDA EM GRUPO|PLANO DE SAUDE - SEGURO DE VIDA EM GRUPO|C CUSTO - 15012|TOTAL: 74,15|</t>
  </si>
  <si>
    <t>|PAGTO DOC - SEGURO DE VIDA EM GRUPO|PLANO DE SAUDE - SEGURO DE VIDA EM GRUPO|C CUSTO - 15050|TOTAL: 24,12|</t>
  </si>
  <si>
    <t>|PAGTO DOC - SEGURO DE VIDA EM GRUPO|PLANO DE SAUDE - SEGURO DE VIDA EM GRUPO|C CUSTO - 15051|TOTAL: 16,08|</t>
  </si>
  <si>
    <t>|PAGTO DOC - SEGURO DE VIDA EM GRUPO|PLANO DE SAUDE - SEGURO DE VIDA EM GRUPO|C CUSTO - 31060|TOTAL: 48,24|</t>
  </si>
  <si>
    <t>|PAGTO DOC - SEGURO DE VIDA EM GRUPO|PLANO DE SAUDE - SEGURO DE VIDA EM GRUPO|C CUSTO - 31070|TOTAL: 8,04|</t>
  </si>
  <si>
    <t>|PAGTO DOC - SEGURO DE VIDA EM GRUPO|PLANO DE SAUDE - SEGURO DE VIDA EM GRUPO|C CUSTO - 31111|TOTAL: 8,04|</t>
  </si>
  <si>
    <t>|PAGTO DOC - SEGURO DE VIDA EM GRUPO|PLANO DE SAUDE - SEGURO DE VIDA EM GRUPO|C CUSTO - 31114|TOTAL: 32,16|</t>
  </si>
  <si>
    <t>|PAGTO DOC - SEGURO DE VIDA EM GRUPO|PLANO DE SAUDE - SEGURO DE VIDA EM GRUPO|C CUSTO - 31200|TOTAL: 8,04|</t>
  </si>
  <si>
    <t>|PAGTO DOC - SEGURO DE VIDA EM GRUPO|PLANO DE SAUDE - SEGURO DE VIDA EM GRUPO|C CUSTO - 11011|TOTAL: 230,49|</t>
  </si>
  <si>
    <t>|PAGTO DOC - SEGURO DE VIDA EM GRUPO|PLANO DE SAUDE - SEGURO DE VIDA EM GRUPO|C CUSTO - 11012|TOTAL: 90,23|</t>
  </si>
  <si>
    <t>|PAGTO DOC - SEGURO DE VIDA EM GRUPO|PLANO DE SAUDE - SEGURO DE VIDA EM GRUPO|C CUSTO - 11013|TOTAL: 74,15|</t>
  </si>
  <si>
    <t>|PAGTO DOC - SEGURO DE VIDA EM GRUPO|PLANO DE SAUDE - SEGURO DE VIDA EM GRUPO|C CUSTO - 13011|TOTAL: 64,32|</t>
  </si>
  <si>
    <t>|PAGTO DOC - SEGURO DE VIDA EM GRUPO|PLANO DE SAUDE - SEGURO DE VIDA EM GRUPO|C CUSTO - 13012|TOTAL: 16,08|</t>
  </si>
  <si>
    <t>|PAGTO DOC - SEGURO DE VIDA EM GRUPO|PLANO DE SAUDE - SEGURO DE VIDA EM GRUPO|C CUSTO - 13013|TOTAL: 128,33|</t>
  </si>
  <si>
    <t>|PAGTO DOC - SEGURO DE VIDA EM GRUPO|PLANO DE SAUDE - SEGURO DE VIDA EM GRUPO|C CUSTO - 13014|TOTAL: 40,2|</t>
  </si>
  <si>
    <t>|PAGTO DOC - SEGURO DE VIDA EM GRUPO|PLANO DE SAUDE - SEGURO DE VIDA EM GRUPO|C CUSTO - 13016|TOTAL: 40,2|</t>
  </si>
  <si>
    <t>|PAGTO DOC - SEGURO DE VIDA EM GRUPO|PLANO DE SAUDE - SEGURO DE VIDA EM GRUPO|C CUSTO - 13017|TOTAL: 32,16|</t>
  </si>
  <si>
    <t>|PAGTO DOC - SEGURO DE VIDA EM GRUPO|PLANO DE SAUDE - SEGURO DE VIDA EM GRUPO|C CUSTO - 13018|TOTAL: 24,12|</t>
  </si>
  <si>
    <t>|PAGTO DOC - SEGURO DE VIDA EM GRUPO|PLANO DE SAUDE - SEGURO DE VIDA EM GRUPO|C CUSTO - 13019|TOTAL: 24,12|</t>
  </si>
  <si>
    <t>|PAGTO DOC - SEGURO DE VIDA EM GRUPO|PLANO DE SAUDE - SEGURO DE VIDA EM GRUPO|C CUSTO - 13021|TOTAL: 64,32|</t>
  </si>
  <si>
    <t>|PAGTO DOC - SEGURO DE VIDA EM GRUPO|PLANO DE SAUDE - SEGURO DE VIDA EM GRUPO|C CUSTO - 14012|TOTAL: 72,36|</t>
  </si>
  <si>
    <t>|PAGTO DOC - SEGURO DE VIDA EM GRUPO|PLANO DE SAUDE - SEGURO DE VIDA EM GRUPO|C CUSTO - 14050|TOTAL: 56,28|</t>
  </si>
  <si>
    <t>|PAGTO DOC - SEGURO DE VIDA EM GRUPO|PLANO DE SAUDE - SEGURO DE VIDA EM GRUPO|C CUSTO - 14051|TOTAL: 72,36|</t>
  </si>
  <si>
    <t>|PAGTO DOC - SEGURO DE VIDA EM GRUPO|PLANO DE SAUDE - SEGURO DE VIDA EM GRUPO|C CUSTO - 14052|TOTAL: 24,12|</t>
  </si>
  <si>
    <t>|PAGTO DOC - SEGURO DE VIDA EM GRUPO|PLANO DE SAUDE - SEGURO DE VIDA EM GRUPO|C CUSTO - 14056|TOTAL: 112,56|</t>
  </si>
  <si>
    <t>|PAGTO DOC - SEGURO DE VIDA EM GRUPO|PLANO DE SAUDE - SEGURO DE VIDA EM GRUPO|C CUSTO - 14058|TOTAL: 24,12|</t>
  </si>
  <si>
    <t>|PAGTO DOC - SEGURO DE VIDA EM GRUPO|PLANO DE SAUDE - SEGURO DE VIDA EM GRUPO|C CUSTO - 15012|TOTAL: 62,22|</t>
  </si>
  <si>
    <t>|PAGTO DOC - SEGURO DE VIDA EM GRUPO|PLANO DE SAUDE - SEGURO DE VIDA EM GRUPO|C CUSTO - 15050|TOTAL: 217,08|</t>
  </si>
  <si>
    <t>|PAGTO DOC - SEGURO DE VIDA EM GRUPO|PLANO DE SAUDE - SEGURO DE VIDA EM GRUPO|C CUSTO - 15051|TOTAL: 168,84|</t>
  </si>
  <si>
    <t>|PAGTO DOC - SEGURO DE VIDA EM GRUPO|PLANO DE SAUDE - SEGURO DE VIDA EM GRUPO|C CUSTO - 21011|TOTAL: 72,36|</t>
  </si>
  <si>
    <t>|PAGTO DOC - SEGURO DE VIDA EM GRUPO|PLANO DE SAUDE - SEGURO DE VIDA EM GRUPO|C CUSTO - 21012|TOTAL: 112,56|</t>
  </si>
  <si>
    <t>|PAGTO DOC - SEGURO DE VIDA EM GRUPO|PLANO DE SAUDE - SEGURO DE VIDA EM GRUPO|C CUSTO - 21013|TOTAL: 24,12|</t>
  </si>
  <si>
    <t>|PAGTO DOC - SEGURO DE VIDA EM GRUPO|PLANO DE SAUDE - SEGURO DE VIDA EM GRUPO|C CUSTO - 31040|TOTAL: 80,4|</t>
  </si>
  <si>
    <t>|PAGTO DOC - SEGURO DE VIDA EM GRUPO|PLANO DE SAUDE - SEGURO DE VIDA EM GRUPO|C CUSTO - 31060|TOTAL: 466,32|</t>
  </si>
  <si>
    <t>|PAGTO DOC - SEGURO DE VIDA EM GRUPO|PLANO DE SAUDE - SEGURO DE VIDA EM GRUPO|C CUSTO - 31070|TOTAL: 104,52|</t>
  </si>
  <si>
    <t>|PAGTO DOC - SEGURO DE VIDA EM GRUPO|PLANO DE SAUDE - SEGURO DE VIDA EM GRUPO|C CUSTO - 31090|TOTAL: 337,68|</t>
  </si>
  <si>
    <t>|PAGTO DOC - SEGURO DE VIDA EM GRUPO|PLANO DE SAUDE - SEGURO DE VIDA EM GRUPO|C CUSTO - 31100|TOTAL: 80,4|</t>
  </si>
  <si>
    <t>|PAGTO DOC - SEGURO DE VIDA EM GRUPO|PLANO DE SAUDE - SEGURO DE VIDA EM GRUPO|C CUSTO - 31111|TOTAL: 32,16|</t>
  </si>
  <si>
    <t>|PAGTO DOC - SEGURO DE VIDA EM GRUPO|PLANO DE SAUDE - SEGURO DE VIDA EM GRUPO|C CUSTO - 31112|TOTAL: 48,24|</t>
  </si>
  <si>
    <t>|PAGTO DOC - SEGURO DE VIDA EM GRUPO|PLANO DE SAUDE - SEGURO DE VIDA EM GRUPO|C CUSTO - 31113|TOTAL: 24,12|</t>
  </si>
  <si>
    <t>|PAGTO DOC - SEGURO DE VIDA EM GRUPO|PLANO DE SAUDE - SEGURO DE VIDA EM GRUPO|C CUSTO - 31114|TOTAL: 241,2|</t>
  </si>
  <si>
    <t>|PAGTO DOC - SEGURO DE VIDA EM GRUPO|PLANO DE SAUDE - SEGURO DE VIDA EM GRUPO|C CUSTO - 31115|TOTAL: 16,08|</t>
  </si>
  <si>
    <t>|PAGTO DOC - SEGURO DE VIDA EM GRUPO|PLANO DE SAUDE - SEGURO DE VIDA EM GRUPO|C CUSTO - 31116|TOTAL: 64,32|</t>
  </si>
  <si>
    <t>|PAGTO DOC - SEGURO DE VIDA EM GRUPO|PLANO DE SAUDE - SEGURO DE VIDA EM GRUPO|C CUSTO - 31200|TOTAL: 112,56|</t>
  </si>
  <si>
    <t>|PAGTO DOC - SEGURO DE VIDA EM GRUPO|PLANO DE SAUDE - SEGURO DE VIDA EM GRUPO|C CUSTO - 31300|TOTAL: 24,12|</t>
  </si>
  <si>
    <t>|PAGTO DOC - SEGURO DE VIDA EM GRUPO|PLANO DE SAUDE - SEGURO DE VIDA EM GRUPO|C CUSTO - 33010|TOTAL: 307|</t>
  </si>
  <si>
    <t>|PAGTO DOC - SEGURO DE VIDA EM GRUPO|PLANO DE SAUDE - SEGURO DE VIDA EM GRUPO|C CUSTO - 33040|TOTAL: 56,28|</t>
  </si>
  <si>
    <t>|PAGTO DOC - SEGURO DE VIDA EM GRUPO|PLANO DE SAUDE - SEGURO DE VIDA EM GRUPO|C CUSTO - 33050|TOTAL: 104,52|</t>
  </si>
  <si>
    <t>|PAGTO DOC - SEGURO DE VIDA EM GRUPO|PLANO DE SAUDE - SEGURO DE VIDA EM GRUPO|C CUSTO - 33060|TOTAL: 80,4|</t>
  </si>
  <si>
    <t>|PAGTO DOC - SEGURO DE VIDA EM GRUPO|PLANO DE SAUDE - SEGURO DE VIDA EM GRUPO|C CUSTO - 55030|TOTAL: 16,08|</t>
  </si>
  <si>
    <t>|PAGTO DOC - SEGURO DE VIDA EM GRUPO|PLANO DE SAUDE - SEGURO DE VIDA EM GRUPO|C CUSTO - 31090|TOTAL: 8,04|</t>
  </si>
  <si>
    <t>|PAGTO DOC - SEGURO DE VIDA EM GRUPO|PLANO DE SAUDE - SEGURO DE VIDA EM GRUPO|C CUSTO - 31116|TOTAL: 16,08|</t>
  </si>
  <si>
    <t>|PAGTO DOC - SEGURO DE VIDA EM GRUPO|PLANO DE SAUDE - SEGURO DE VIDA EM GRUPO|C CUSTO - 33050|TOTAL: 16,08|</t>
  </si>
  <si>
    <t>|PAGTO DOC - SEGURO DE VIDA EM GRUPO|PLANO DE SAUDE - SEGURO DE VIDA EM GRUPO|C CUSTO - 14012|TOTAL: 16,08|</t>
  </si>
  <si>
    <t>|PAGTO DOC - SEGURO DE VIDA EM GRUPO|PLANO DE SAUDE - SEGURO DE VIDA EM GRUPO|C CUSTO - 21012|TOTAL: 8,04|</t>
  </si>
  <si>
    <t>|PAGTO DOC - SEGURO DE VIDA EM GRUPO|PLANO DE SAUDE - SEGURO DE VIDA EM GRUPO|C CUSTO - 13016|TOTAL: 8,04|</t>
  </si>
  <si>
    <t>|PAGTO DOC - SEGURO DE VIDA EM GRUPO|PLANO DE SAUDE - SEGURO DE VIDA EM GRUPO|C CUSTO - 13021|TOTAL: 8,04|</t>
  </si>
  <si>
    <t>|PAGTO DOC - SEGURO DE VIDA EM GRUPO|PLANO DE SAUDE - SEGURO DE VIDA EM GRUPO|C CUSTO - 21011|TOTAL: 8,04|</t>
  </si>
  <si>
    <t>|PAGTO DOC - SEGURO DE VIDA EM GRUPO|PLANO DE SAUDE - SEGURO DE VIDA EM GRUPO|C CUSTO - 33010|TOTAL: 8,04|</t>
  </si>
  <si>
    <t>|PAGTO DOC - SEGURO SAÚDE|PLANO DE SAUDE - SEGURO SAÚDE|C CUSTO - 13014|TOTAL: 2502,52|</t>
  </si>
  <si>
    <t>|PAGTO DOC - SEGURO SAÚDE|PLANO DE SAUDE - SEGURO SAÚDE|C CUSTO - 14050|TOTAL: 1238,55|</t>
  </si>
  <si>
    <t>|PAGTO DOC - SEGURO SAÚDE|PLANO DE SAUDE - SEGURO SAÚDE|C CUSTO - 15012|TOTAL: 2502,52|</t>
  </si>
  <si>
    <t>|PAGTO DOC - SEGURO SAÚDE|PLANO DE SAUDE - SEGURO SAÚDE|C CUSTO - 15056|TOTAL: 1238,55|</t>
  </si>
  <si>
    <t>|PAGTO DOC - SEGURO SAÚDE|PLANO DE SAUDE - SEGURO SAÚDE|C CUSTO - 11011|TOTAL: 33358,46|</t>
  </si>
  <si>
    <t>|PAGTO DOC - SEGURO SAÚDE|PLANO DE SAUDE - SEGURO SAÚDE|C CUSTO - 11012|TOTAL: 15015,12|</t>
  </si>
  <si>
    <t>|PAGTO DOC - SEGURO SAÚDE|PLANO DE SAUDE - SEGURO SAÚDE|C CUSTO - 11013|TOTAL: 7507,56|</t>
  </si>
  <si>
    <t>|PAGTO DOC - SEGURO SAÚDE|PLANO DE SAUDE - SEGURO SAÚDE|C CUSTO - 13013|TOTAL: 5005,04|</t>
  </si>
  <si>
    <t>|PAGTO DOC - SEGURO SAÚDE|PLANO DE SAUDE - SEGURO SAÚDE|C CUSTO - 14051|TOTAL: 4979,62|</t>
  </si>
  <si>
    <t>|PAGTO DOC - SEGURO SAÚDE|PLANO DE SAUDE - SEGURO SAÚDE|C CUSTO - 14056|TOTAL: 2477,1|</t>
  </si>
  <si>
    <t>|PAGTO DOC - SEGURO SAÚDE|PLANO DE SAUDE - SEGURO SAÚDE|C CUSTO - 15012|TOTAL: 1238,55|</t>
  </si>
  <si>
    <t>|PAGTO DOC - SEGURO SAÚDE|PLANO DE SAUDE - SEGURO SAÚDE|C CUSTO - 15050|TOTAL: 12798,35|</t>
  </si>
  <si>
    <t>|PAGTO DOC - SEGURO SAÚDE|PLANO DE SAUDE - SEGURO SAÚDE|C CUSTO - 15051|TOTAL: 6605,6|</t>
  </si>
  <si>
    <t>|PAGTO DOC - SEGURO SAÚDE|PLANO DE SAUDE - SEGURO SAÚDE|C CUSTO - 15056|TOTAL: 10734,1|</t>
  </si>
  <si>
    <t>|PAGTO DOC - SEGURO SAÚDE|PLANO DE SAUDE - SEGURO SAÚDE|C CUSTO - 15058|TOTAL: 7431,3|</t>
  </si>
  <si>
    <t>|PAGTO DOC - SEGURO SAÚDE|PLANO DE SAUDE - SEGURO SAÚDE|C CUSTO - 15059|TOTAL: 7431,3|</t>
  </si>
  <si>
    <t>|PAGTO DOC - SEGURO SAÚDE|PLANO DE SAUDE - SEGURO SAÚDE|C CUSTO - 21011|TOTAL: 7507,56|</t>
  </si>
  <si>
    <t>|PAGTO DOC - SEGURO SAÚDE|PLANO DE SAUDE - SEGURO SAÚDE|C CUSTO - 33010|TOTAL: 10422,93|</t>
  </si>
  <si>
    <t>|PAGTO DOC - |PLANO DE SAUDE - SEGURO UNIMED|C CUSTO - 13013|TOTAL: 8,04|</t>
  </si>
  <si>
    <t>|PAGTO DOC - |PLANO DE SAUDE - SEGURO UNIMED|C CUSTO - 32001|TOTAL: 56,28|</t>
  </si>
  <si>
    <t>|PAGTO DOC - |PLANO DE SAUDE - SEGURO UNIMED|C CUSTO - 32002|TOTAL: 209,04|</t>
  </si>
  <si>
    <t>|PAGTO DOC - |PLANO DE SAUDE - SEGURO UNIMED|C CUSTO - 32003|TOTAL: 168,84|</t>
  </si>
  <si>
    <t>|PAGTO DOC - |PLANO DE SAUDE - SEGURO UNIMED|C CUSTO - 32007|TOTAL: 112,56|</t>
  </si>
  <si>
    <t>|PAGTO DOC - |PLANO DE SAUDE - SEGURO UNIMED|C CUSTO - 32100|TOTAL: 24,12|</t>
  </si>
  <si>
    <t>|PAGTO DOC - |PLANO DE SAUDE - SEGURO UNIMED|C CUSTO - 34001|TOTAL: 64,32|</t>
  </si>
  <si>
    <t>|PAGTO DOC - |PLANO DE SAUDE - SEGURO UNIMED|C CUSTO - 15056|TOTAL: 297,48|</t>
  </si>
  <si>
    <t>|PAGTO DOC - |PLANO DE SAUDE - SEGURO UNIMED|C CUSTO - 15058|TOTAL: 176,88|</t>
  </si>
  <si>
    <t>|PAGTO DOC - |PLANO DE SAUDE - SEGURO UNIMED|C CUSTO - 15059|TOTAL: 152,76|</t>
  </si>
  <si>
    <t>|PAGTO DOC - |PLANO DE SAUDE - SEGURO UNIMED|C CUSTO - 22002|TOTAL: 48,24|</t>
  </si>
  <si>
    <t>|PAGTO DOC - |PLANO DE SAUDE - SORRISO ODONTO|C CUSTO - 13011|TOTAL: 213,6|</t>
  </si>
  <si>
    <t>|PAGTO DOC - |PLANO DE SAUDE - SORRISO ODONTO|C CUSTO - 13013|TOTAL: 48|</t>
  </si>
  <si>
    <t>|PAGTO DOC - |PLANO DE SAUDE - SORRISO ODONTO|C CUSTO - 13017|TOTAL: 105|</t>
  </si>
  <si>
    <t>|PAGTO DOC - |PLANO DE SAUDE - SORRISO ODONTO|C CUSTO - 13019|TOTAL: 85|</t>
  </si>
  <si>
    <t>|PAGTO DOC - |PLANO DE SAUDE - SORRISO ODONTO|C CUSTO - 13021|TOTAL: 224,15|</t>
  </si>
  <si>
    <t>|PAGTO DOC - |PLANO DE SAUDE - SORRISO ODONTO|C CUSTO - 21012|TOTAL: 222|</t>
  </si>
  <si>
    <t>|PAGTO DOC - |PLANO DE SAUDE - SORRISO ODONTO|C CUSTO - 31040|TOTAL: 175,45|</t>
  </si>
  <si>
    <t>|PAGTO DOC - |PLANO DE SAUDE - SORRISO ODONTO|C CUSTO - 31060|TOTAL: 1013,6|</t>
  </si>
  <si>
    <t>|PAGTO DOC - |PLANO DE SAUDE - SORRISO ODONTO|C CUSTO - 31070|TOTAL: 132|</t>
  </si>
  <si>
    <t>|PAGTO DOC - |PLANO DE SAUDE - SORRISO ODONTO|C CUSTO - 31090|TOTAL: 968,9|</t>
  </si>
  <si>
    <t>|PAGTO DOC - |PLANO DE SAUDE - SORRISO ODONTO|C CUSTO - 31100|TOTAL: 35|</t>
  </si>
  <si>
    <t>|PAGTO DOC - |PLANO DE SAUDE - SORRISO ODONTO|C CUSTO - 31111|TOTAL: 142|</t>
  </si>
  <si>
    <t>|PAGTO DOC - |PLANO DE SAUDE - SORRISO ODONTO|C CUSTO - 31112|TOTAL: 195|</t>
  </si>
  <si>
    <t>|PAGTO DOC - |PLANO DE SAUDE - SORRISO ODONTO|C CUSTO - 31114|TOTAL: 470|</t>
  </si>
  <si>
    <t>|PAGTO DOC - |PLANO DE SAUDE - SORRISO ODONTO|C CUSTO - 31116|TOTAL: 172|</t>
  </si>
  <si>
    <t>|PAGTO DOC - |PLANO DE SAUDE - SORRISO ODONTO|C CUSTO - 31200|TOTAL: 489,9|</t>
  </si>
  <si>
    <t>|PAGTO DOC - |PLANO DE SAUDE - SORRISO ODONTO|C CUSTO - 31300|TOTAL: 130|</t>
  </si>
  <si>
    <t>|PAGTO DOC - |PLANO DE SAUDE - SORRISO ODONTO|C CUSTO - 33010|TOTAL: 198|</t>
  </si>
  <si>
    <t>|PAGTO DOC - |PLANO DE SAUDE - SORRISO ODONTO|C CUSTO - 33040|TOTAL: 129,6|</t>
  </si>
  <si>
    <t>|PAGTO DOC - |PLANO DE SAUDE - SORRISO ODONTO|C CUSTO - 33050|TOTAL: 90|</t>
  </si>
  <si>
    <t>|PAGTO DOC - |PLANO DE SAUDE - SORRISO ODONTO|C CUSTO - 33060|TOTAL: 187|</t>
  </si>
  <si>
    <t>|PAGTO DOC - |PLANO DE SAUDE - SORRISO ODONTO|C CUSTO - 55030|TOTAL: 75|</t>
  </si>
  <si>
    <t>|PAGTO DOC - |PLANO DE SAUDE - UNIMED ODONTO|C CUSTO - 15056|TOTAL: 43,65|</t>
  </si>
  <si>
    <t>|PAGTO DOC - |PLANO DE SAUDE - UNIMED ODONTO|C CUSTO - 15058|TOTAL: -14,55|</t>
  </si>
  <si>
    <t>|PAGTO DOC - |PLANO DE SAUDE - UNIMED ODONTO|C CUSTO - 13012|TOTAL: 43,65|</t>
  </si>
  <si>
    <t>|PAGTO DOC - |PLANO DE SAUDE - UNIMED ODONTO|C CUSTO - 13014|TOTAL: 43,65|</t>
  </si>
  <si>
    <t>|PAGTO DOC - |PLANO DE SAUDE - UNIMED ODONTO|C CUSTO - 13016|TOTAL: 43,65|</t>
  </si>
  <si>
    <t>|PAGTO DOC - |PLANO DE SAUDE - UNIMED ODONTO|C CUSTO - 13018|TOTAL: 72,75|</t>
  </si>
  <si>
    <t>|PAGTO DOC - |PLANO DE SAUDE - UNIMED ODONTO|C CUSTO - 14012|TOTAL: 14,55|</t>
  </si>
  <si>
    <t>|PAGTO DOC - |PLANO DE SAUDE - UNIMED ODONTO|C CUSTO - 14056|TOTAL: 101,85|</t>
  </si>
  <si>
    <t>|PAGTO DOC - |PLANO DE SAUDE - UNIMED ODONTO|C CUSTO - 15012|TOTAL: 14,55|</t>
  </si>
  <si>
    <t>|PAGTO DOC - |PLANO DE SAUDE - UNIMED ODONTO|C CUSTO - 15050|TOTAL: 421,95|</t>
  </si>
  <si>
    <t>|PAGTO DOC - |PLANO DE SAUDE - UNIMED ODONTO|C CUSTO - 15051|TOTAL: 247,35|</t>
  </si>
  <si>
    <t>|PAGTO DOC - |PLANO DE SAUDE - UNIMED ODONTO|C CUSTO - 15056|TOTAL: 349,2|</t>
  </si>
  <si>
    <t>|PAGTO DOC - |PLANO DE SAUDE - UNIMED ODONTO|C CUSTO - 15058|TOTAL: 232,8|</t>
  </si>
  <si>
    <t>|PAGTO DOC - |PLANO DE SAUDE - UNIMED ODONTO|C CUSTO - 15059|TOTAL: 247,35|</t>
  </si>
  <si>
    <t>|PAGTO DOC - |PLANO DE SAUDE - UNIMED ODONTO|C CUSTO - 21011|TOTAL: 87,3|</t>
  </si>
  <si>
    <t>|PAGTO DOC - |PLANO DE SAUDE - UNIMED ODONTO|C CUSTO - 21012|TOTAL: 58,2|</t>
  </si>
  <si>
    <t>|PAGTO DOC - |PLANO DE SAUDE - UNIMED ODONTO|C CUSTO - 21013|TOTAL: 43,65|</t>
  </si>
  <si>
    <t>|PAGTO DOC - |PLANO DE SAUDE - UNIMED ODONTO|C CUSTO - 31040|TOTAL: 43,65|</t>
  </si>
  <si>
    <t>|PAGTO DOC - |PLANO DE SAUDE - UNIMED ODONTO|C CUSTO - 31060|TOTAL: 261,9|</t>
  </si>
  <si>
    <t>|PAGTO DOC - |PLANO DE SAUDE - UNIMED ODONTO|C CUSTO - 31070|TOTAL: 58,2|</t>
  </si>
  <si>
    <t>|PAGTO DOC - |PLANO DE SAUDE - UNIMED ODONTO|C CUSTO - 31090|TOTAL: 43,65|</t>
  </si>
  <si>
    <t>|PAGTO DOC - |PLANO DE SAUDE - UNIMED ODONTO|C CUSTO - 31111|TOTAL: 14,55|</t>
  </si>
  <si>
    <t>|PAGTO DOC - |PLANO DE SAUDE - UNIMED ODONTO|C CUSTO - 31116|TOTAL: 43,65|</t>
  </si>
  <si>
    <t>|PAGTO DOC - |PLANO DE SAUDE - UNIMED ODONTO|C CUSTO - 31300|TOTAL: 14,55|</t>
  </si>
  <si>
    <t>|PAGTO DOC - |PLANO DE SAUDE - UNIMED ODONTO|C CUSTO - 33010|TOTAL: 349,2|</t>
  </si>
  <si>
    <t>|PAGTO DOC - |PLANO DE SAUDE - UNIMED ODONTO|C CUSTO - 33050|TOTAL: 189,15|</t>
  </si>
  <si>
    <t>|PAGTO DOC - |PLANO DE SAUDE - UNIMED ODONTO|C CUSTO - 33060|TOTAL: 29,1|</t>
  </si>
  <si>
    <t>|PAGTO DOC - |PLANO DE SAUDE - UNIMED ODONTO|C CUSTO - 32003|TOTAL: 43,65|</t>
  </si>
  <si>
    <t>|PAGTO DOC - |PLANO DE SAUDE - UNIMED ODONTO|C CUSTO - 22002|TOTAL: 68,53|</t>
  </si>
  <si>
    <t>|PAGTO DOC - |PLANO DE SAUDE - UNIMED ODONTO|C CUSTO - 32001|TOTAL: 160,05|</t>
  </si>
  <si>
    <t>|PAGTO DOC - |PLANO DE SAUDE - UNIMED ODONTO|C CUSTO - 32002|TOTAL: 421,95|</t>
  </si>
  <si>
    <t>|PAGTO DOC - |PLANO DE SAUDE - UNIMED ODONTO|C CUSTO - 32007|TOTAL: 334,65|</t>
  </si>
  <si>
    <t>|PAGTO DOC - |PLANO DE SAUDE - UNIMED ODONTO|C CUSTO - 32003|TOTAL: 641,14|</t>
  </si>
  <si>
    <t>|PAGTO DOC - |PLANO DE SAUDE - UNIMED ODONTO|C CUSTO - 32100|TOTAL: 58,2|</t>
  </si>
  <si>
    <t>|PAGTO DOC - |PLANO DE SAUDE - UNIMED ODONTO|C CUSTO - 13013|TOTAL: 29,1|</t>
  </si>
  <si>
    <t>|PAGTO DOC - |PLANO DE SAUDE - UNIMED ODONTO|C CUSTO - 32001|TOTAL: 87,3|</t>
  </si>
  <si>
    <t>|PAGTO DOC - |PLANO DE SAUDE - UNIMED CAPIXABA|C CUSTO - 22002|TOTAL: 1725,98|</t>
  </si>
  <si>
    <t>|PAGTO DOC - |PLANO DE SAUDE - UNIMED CAPIXABA|C CUSTO - 13013|TOTAL: 627,78|</t>
  </si>
  <si>
    <t>|PAGTO DOC - |PLANO DE SAUDE - UNIMED CAPIXABA|C CUSTO - 32001|TOTAL: 1275,63|</t>
  </si>
  <si>
    <t>|PAGTO DOC - |PLANO DE SAUDE - UNIMED CAPIXABA|C CUSTO - 32002|TOTAL: 7297,04|</t>
  </si>
  <si>
    <t>|PAGTO DOC - |PLANO DE SAUDE - UNIMED CAPIXABA|C CUSTO - 32003|TOTAL: 5276,25|</t>
  </si>
  <si>
    <t>|PAGTO DOC - |PLANO DE SAUDE - UNIMED CAPIXABA|C CUSTO - 32007|TOTAL: 4354,03|</t>
  </si>
  <si>
    <t>|PAGTO DOC - |PLANO DE SAUDE - UNIMED CAPIXABA|C CUSTO - 32100|TOTAL: 1580,65|</t>
  </si>
  <si>
    <t>|PAGTO DOC - |PLANO DE SAUDE - UNIMED CAPIXABA|C CUSTO - 34001|TOTAL: 1237,33|</t>
  </si>
  <si>
    <t>31201005</t>
  </si>
  <si>
    <t>31201003</t>
  </si>
  <si>
    <t>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</si>
</sst>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416]dd/mm/yyyy"/>
    <numFmt numFmtId="165" formatCode="[$-416]###,###,##0"/>
    <numFmt numFmtId="166" formatCode="[$-416]##,###,##0"/>
    <numFmt numFmtId="167" formatCode="[$-416]######0"/>
    <numFmt numFmtId="168" formatCode="[$-416]#######000"/>
    <numFmt numFmtId="169" formatCode="[$-416]#,###,###,###,##0.00"/>
    <numFmt numFmtId="170" formatCode="[$-416]##,###,###,##0.00"/>
    <numFmt numFmtId="171" formatCode="[$-416]###,###,###,##0.00"/>
    <numFmt numFmtId="172" formatCode="[$-416]dd/mm/yyyy;@"/>
    <numFmt numFmtId="173" formatCode="[$-416]&quot;&gt;&gt;&gt;,&gt;&gt;&gt;,&gt;&gt;9&quot;"/>
    <numFmt numFmtId="174" formatCode="[$-416]&quot;XX&quot;"/>
    <numFmt numFmtId="175" formatCode="[$-416]#,##0.0000"/>
    <numFmt numFmtId="176" formatCode="[$-416]#,##0.00"/>
    <numFmt numFmtId="177" formatCode="[$]@"/>
    <numFmt numFmtId="178" formatCode="[$-416]##,###,###,##0"/>
    <numFmt numFmtId="179" formatCode="_-* #,##0_-;\-* #,##0_-;_-* &quot;-&quot;??_-;_-@_-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rgb="FFCCFFFF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58">
    <xf numFmtId="0" fontId="0" fillId="0" borderId="0"/>
    <xf numFmtId="0" fontId="3" fillId="0" borderId="0" applyNumberFormat="0" applyFill="0" applyBorder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6" fillId="0" borderId="6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7" applyNumberFormat="0" applyAlignment="0" applyProtection="0"/>
    <xf numFmtId="0" fontId="11" fillId="6" borderId="8" applyNumberFormat="0" applyAlignment="0" applyProtection="0"/>
    <xf numFmtId="0" fontId="12" fillId="6" borderId="7" applyNumberFormat="0" applyAlignment="0" applyProtection="0"/>
    <xf numFmtId="0" fontId="13" fillId="0" borderId="9" applyNumberFormat="0" applyFill="0" applyAlignment="0" applyProtection="0"/>
    <xf numFmtId="0" fontId="14" fillId="7" borderId="10" applyNumberFormat="0" applyAlignment="0" applyProtection="0"/>
    <xf numFmtId="0" fontId="15" fillId="0" borderId="0" applyNumberFormat="0" applyFill="0" applyBorder="0" applyAlignment="0" applyProtection="0"/>
    <xf numFmtId="0" fontId="2" fillId="8" borderId="11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2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0" fontId="18" fillId="0" borderId="0"/>
    <xf numFmtId="43" fontId="2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14" fillId="33" borderId="1" xfId="0" applyFont="1" applyFill="1" applyBorder="1"/>
    <xf numFmtId="4" fontId="14" fillId="33" borderId="1" xfId="0" applyNumberFormat="1" applyFont="1" applyFill="1" applyBorder="1"/>
    <xf numFmtId="4" fontId="1" fillId="33" borderId="13" xfId="0" applyNumberFormat="1" applyFont="1" applyFill="1" applyBorder="1"/>
    <xf numFmtId="0" fontId="18" fillId="0" borderId="0" xfId="42"/>
    <xf numFmtId="43" fontId="18" fillId="0" borderId="0" xfId="57" applyFont="1"/>
    <xf numFmtId="43" fontId="18" fillId="0" borderId="0" xfId="42" applyNumberFormat="1"/>
    <xf numFmtId="172" fontId="20" fillId="35" borderId="14" xfId="0" applyNumberFormat="1" applyFont="1" applyFill="1" applyBorder="1"/>
    <xf numFmtId="173" fontId="20" fillId="35" borderId="14" xfId="0" applyNumberFormat="1" applyFont="1" applyFill="1" applyBorder="1"/>
    <xf numFmtId="174" fontId="20" fillId="35" borderId="14" xfId="0" applyNumberFormat="1" applyFont="1" applyFill="1" applyBorder="1"/>
    <xf numFmtId="175" fontId="20" fillId="35" borderId="14" xfId="0" applyNumberFormat="1" applyFont="1" applyFill="1" applyBorder="1"/>
    <xf numFmtId="176" fontId="20" fillId="35" borderId="14" xfId="0" applyNumberFormat="1" applyFont="1" applyFill="1" applyBorder="1"/>
    <xf numFmtId="172" fontId="0" fillId="0" borderId="15" xfId="0" applyNumberFormat="1" applyBorder="1"/>
    <xf numFmtId="173" fontId="0" fillId="0" borderId="15" xfId="0" applyNumberFormat="1" applyBorder="1"/>
    <xf numFmtId="174" fontId="0" fillId="0" borderId="15" xfId="0" applyNumberFormat="1" applyBorder="1"/>
    <xf numFmtId="175" fontId="0" fillId="0" borderId="15" xfId="0" applyNumberFormat="1" applyBorder="1"/>
    <xf numFmtId="176" fontId="0" fillId="0" borderId="15" xfId="0" applyNumberFormat="1" applyBorder="1"/>
    <xf numFmtId="4" fontId="14" fillId="33" borderId="13" xfId="0" applyNumberFormat="1" applyFont="1" applyFill="1" applyBorder="1"/>
    <xf numFmtId="4" fontId="18" fillId="0" borderId="0" xfId="57" applyNumberFormat="1" applyFont="1"/>
    <xf numFmtId="0" fontId="21" fillId="0" borderId="0" xfId="0" applyFont="1"/>
    <xf numFmtId="0" fontId="21" fillId="0" borderId="0" xfId="0" applyFont="1" applyAlignment="1">
      <alignment horizontal="right"/>
    </xf>
    <xf numFmtId="0" fontId="21" fillId="0" borderId="0" xfId="0" applyFont="1" applyAlignment="1">
      <alignment horizontal="left"/>
    </xf>
    <xf numFmtId="4" fontId="21" fillId="0" borderId="0" xfId="0" applyNumberFormat="1" applyFont="1" applyAlignment="1">
      <alignment horizontal="right"/>
    </xf>
    <xf numFmtId="14" fontId="21" fillId="0" borderId="0" xfId="0" applyNumberFormat="1" applyFont="1"/>
    <xf numFmtId="4" fontId="21" fillId="0" borderId="0" xfId="0" applyNumberFormat="1" applyFont="1"/>
    <xf numFmtId="164" fontId="0" fillId="0" borderId="0" xfId="0" applyNumberFormat="1" applyAlignment="1">
      <alignment horizontal="right"/>
    </xf>
    <xf numFmtId="177" fontId="0" fillId="0" borderId="0" xfId="0" applyNumberFormat="1"/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8" fontId="0" fillId="0" borderId="0" xfId="0" applyNumberFormat="1"/>
    <xf numFmtId="169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171" fontId="0" fillId="0" borderId="0" xfId="0" applyNumberFormat="1" applyAlignment="1">
      <alignment horizontal="right"/>
    </xf>
    <xf numFmtId="0" fontId="18" fillId="0" borderId="0" xfId="42" applyAlignment="1">
      <alignment horizontal="left"/>
    </xf>
    <xf numFmtId="43" fontId="18" fillId="0" borderId="0" xfId="57" applyFont="1" applyFill="1" applyBorder="1"/>
    <xf numFmtId="4" fontId="0" fillId="0" borderId="0" xfId="0" applyNumberFormat="1"/>
    <xf numFmtId="0" fontId="18" fillId="34" borderId="0" xfId="42" applyFill="1"/>
    <xf numFmtId="44" fontId="14" fillId="33" borderId="1" xfId="0" applyNumberFormat="1" applyFont="1" applyFill="1" applyBorder="1"/>
    <xf numFmtId="178" fontId="0" fillId="0" borderId="0" xfId="0" applyNumberFormat="1" applyAlignment="1">
      <alignment horizontal="right"/>
    </xf>
    <xf numFmtId="0" fontId="15" fillId="0" borderId="0" xfId="0" applyFont="1"/>
    <xf numFmtId="0" fontId="15" fillId="0" borderId="0" xfId="0" applyFont="1" applyAlignment="1">
      <alignment horizontal="right"/>
    </xf>
    <xf numFmtId="0" fontId="15" fillId="0" borderId="0" xfId="0" applyFont="1" applyAlignment="1">
      <alignment horizontal="left"/>
    </xf>
    <xf numFmtId="177" fontId="20" fillId="35" borderId="14" xfId="0" applyNumberFormat="1" applyFont="1" applyFill="1" applyBorder="1"/>
    <xf numFmtId="177" fontId="0" fillId="0" borderId="15" xfId="0" applyNumberFormat="1" applyBorder="1"/>
    <xf numFmtId="179" fontId="18" fillId="0" borderId="0" xfId="42" applyNumberFormat="1"/>
    <xf numFmtId="0" fontId="0" fillId="0" borderId="2" xfId="0" applyBorder="1"/>
    <xf numFmtId="44" fontId="0" fillId="0" borderId="0" xfId="0" applyNumberFormat="1" applyAlignment="1">
      <alignment horizontal="center" vertical="top"/>
    </xf>
    <xf numFmtId="4" fontId="0" fillId="0" borderId="1" xfId="0" applyNumberFormat="1" applyBorder="1"/>
    <xf numFmtId="4" fontId="1" fillId="0" borderId="1" xfId="0" applyNumberFormat="1" applyFont="1" applyBorder="1"/>
    <xf numFmtId="44" fontId="0" fillId="0" borderId="0" xfId="0" applyNumberFormat="1" applyAlignment="1">
      <alignment horizontal="left" vertical="top"/>
    </xf>
    <xf numFmtId="44" fontId="21" fillId="0" borderId="0" xfId="0" applyNumberFormat="1" applyFont="1" applyAlignment="1">
      <alignment horizontal="left" vertical="top"/>
    </xf>
    <xf numFmtId="4" fontId="21" fillId="0" borderId="1" xfId="0" applyNumberFormat="1" applyFont="1" applyBorder="1"/>
    <xf numFmtId="0" fontId="0" fillId="36" borderId="0" xfId="0" applyFill="1"/>
    <xf numFmtId="0" fontId="0" fillId="36" borderId="0" xfId="0" applyFill="1" applyAlignment="1">
      <alignment horizontal="center"/>
    </xf>
    <xf numFmtId="0" fontId="14" fillId="36" borderId="2" xfId="0" applyFont="1" applyFill="1" applyBorder="1"/>
    <xf numFmtId="0" fontId="1" fillId="36" borderId="13" xfId="0" applyFont="1" applyFill="1" applyBorder="1" applyAlignment="1">
      <alignment horizontal="center"/>
    </xf>
    <xf numFmtId="0" fontId="0" fillId="36" borderId="0" xfId="0" applyFill="1" applyAlignment="1">
      <alignment horizontal="center" vertical="top"/>
    </xf>
    <xf numFmtId="14" fontId="0" fillId="36" borderId="0" xfId="0" applyNumberFormat="1" applyFill="1"/>
    <xf numFmtId="43" fontId="0" fillId="36" borderId="0" xfId="0" applyNumberFormat="1" applyFill="1"/>
    <xf numFmtId="1" fontId="0" fillId="36" borderId="0" xfId="0" applyNumberFormat="1" applyFill="1"/>
    <xf numFmtId="0" fontId="14" fillId="36" borderId="3" xfId="0" applyFont="1" applyFill="1" applyBorder="1" applyAlignment="1">
      <alignment horizontal="center"/>
    </xf>
    <xf numFmtId="0" fontId="14" fillId="36" borderId="1" xfId="0" applyFont="1" applyFill="1" applyBorder="1"/>
    <xf numFmtId="0" fontId="1" fillId="36" borderId="13" xfId="0" applyFont="1" applyFill="1" applyBorder="1"/>
    <xf numFmtId="1" fontId="1" fillId="36" borderId="13" xfId="0" applyNumberFormat="1" applyFont="1" applyFill="1" applyBorder="1"/>
    <xf numFmtId="0" fontId="0" fillId="36" borderId="1" xfId="0" applyFill="1" applyBorder="1"/>
    <xf numFmtId="0" fontId="0" fillId="36" borderId="0" xfId="0" applyFill="1" applyAlignment="1">
      <alignment horizontal="right" vertical="top"/>
    </xf>
    <xf numFmtId="14" fontId="1" fillId="36" borderId="1" xfId="0" applyNumberFormat="1" applyFont="1" applyFill="1" applyBorder="1"/>
    <xf numFmtId="1" fontId="0" fillId="36" borderId="0" xfId="0" applyNumberFormat="1" applyFill="1" applyAlignment="1">
      <alignment horizontal="right" vertical="top"/>
    </xf>
    <xf numFmtId="0" fontId="21" fillId="36" borderId="1" xfId="0" applyFont="1" applyFill="1" applyBorder="1"/>
    <xf numFmtId="0" fontId="21" fillId="36" borderId="0" xfId="0" applyFont="1" applyFill="1" applyAlignment="1">
      <alignment horizontal="right" vertical="top"/>
    </xf>
    <xf numFmtId="14" fontId="22" fillId="36" borderId="1" xfId="0" applyNumberFormat="1" applyFont="1" applyFill="1" applyBorder="1"/>
    <xf numFmtId="43" fontId="0" fillId="36" borderId="0" xfId="57" applyFont="1" applyFill="1"/>
    <xf numFmtId="0" fontId="1" fillId="36" borderId="0" xfId="0" applyFont="1" applyFill="1"/>
    <xf numFmtId="14" fontId="14" fillId="36" borderId="3" xfId="0" applyNumberFormat="1" applyFont="1" applyFill="1" applyBorder="1" applyAlignment="1">
      <alignment horizontal="center"/>
    </xf>
    <xf numFmtId="43" fontId="14" fillId="36" borderId="1" xfId="57" applyFont="1" applyFill="1" applyBorder="1"/>
    <xf numFmtId="4" fontId="14" fillId="36" borderId="1" xfId="0" applyNumberFormat="1" applyFont="1" applyFill="1" applyBorder="1"/>
    <xf numFmtId="43" fontId="0" fillId="36" borderId="0" xfId="57" applyFont="1" applyFill="1" applyBorder="1" applyAlignment="1">
      <alignment horizontal="center" vertical="top"/>
    </xf>
    <xf numFmtId="4" fontId="0" fillId="36" borderId="0" xfId="0" applyNumberFormat="1" applyFill="1"/>
    <xf numFmtId="4" fontId="1" fillId="36" borderId="0" xfId="0" applyNumberFormat="1" applyFont="1" applyFill="1"/>
    <xf numFmtId="2" fontId="0" fillId="36" borderId="0" xfId="0" applyNumberFormat="1" applyFill="1"/>
    <xf numFmtId="43" fontId="0" fillId="36" borderId="0" xfId="57" applyFont="1" applyFill="1" applyBorder="1" applyAlignment="1">
      <alignment horizontal="left" vertical="top"/>
    </xf>
    <xf numFmtId="43" fontId="0" fillId="36" borderId="0" xfId="57" applyFont="1" applyFill="1" applyBorder="1"/>
    <xf numFmtId="43" fontId="0" fillId="36" borderId="0" xfId="57" applyFont="1" applyFill="1" applyAlignment="1">
      <alignment horizontal="center"/>
    </xf>
    <xf numFmtId="43" fontId="0" fillId="36" borderId="0" xfId="57" applyFont="1" applyFill="1" applyBorder="1" applyAlignment="1">
      <alignment horizontal="center"/>
    </xf>
    <xf numFmtId="0" fontId="14" fillId="36" borderId="2" xfId="0" applyFont="1" applyFill="1" applyBorder="1" applyAlignment="1">
      <alignment horizontal="center"/>
    </xf>
    <xf numFmtId="0" fontId="14" fillId="36" borderId="3" xfId="0" applyFont="1" applyFill="1" applyBorder="1" applyAlignment="1">
      <alignment horizontal="center"/>
    </xf>
  </cellXfs>
  <cellStyles count="58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0000000-0005-0000-0000-000020000000}"/>
    <cellStyle name="Normal 2 2" xfId="43" xr:uid="{00000000-0005-0000-0000-000021000000}"/>
    <cellStyle name="Normal 2 2 2" xfId="45" xr:uid="{00000000-0005-0000-0000-000022000000}"/>
    <cellStyle name="Normal 2 3" xfId="44" xr:uid="{00000000-0005-0000-0000-000023000000}"/>
    <cellStyle name="Normal 2 4" xfId="52" xr:uid="{00000000-0005-0000-0000-000024000000}"/>
    <cellStyle name="Normal 2 4 2" xfId="54" xr:uid="{00000000-0005-0000-0000-000025000000}"/>
    <cellStyle name="Normal 3" xfId="46" xr:uid="{00000000-0005-0000-0000-000026000000}"/>
    <cellStyle name="Normal 3 2" xfId="49" xr:uid="{00000000-0005-0000-0000-000027000000}"/>
    <cellStyle name="Normal 4" xfId="47" xr:uid="{00000000-0005-0000-0000-000028000000}"/>
    <cellStyle name="Normal 4 2" xfId="50" xr:uid="{00000000-0005-0000-0000-000029000000}"/>
    <cellStyle name="Normal 5" xfId="48" xr:uid="{00000000-0005-0000-0000-00002A000000}"/>
    <cellStyle name="Normal 5 2" xfId="51" xr:uid="{00000000-0005-0000-0000-00002B000000}"/>
    <cellStyle name="Normal 6" xfId="53" xr:uid="{00000000-0005-0000-0000-00002C000000}"/>
    <cellStyle name="Normal 7" xfId="55" xr:uid="{00000000-0005-0000-0000-00002D000000}"/>
    <cellStyle name="Normal 7 2" xfId="56" xr:uid="{00000000-0005-0000-0000-00002E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57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1"/>
  <sheetViews>
    <sheetView showGridLines="0" zoomScale="85" zoomScaleNormal="85" workbookViewId="0">
      <selection activeCell="F169" sqref="F169"/>
    </sheetView>
  </sheetViews>
  <sheetFormatPr defaultRowHeight="14.4" x14ac:dyDescent="0.3"/>
  <cols>
    <col min="1" max="1" width="5.88671875" customWidth="1"/>
    <col min="2" max="2" width="26.6640625" style="54" bestFit="1" customWidth="1"/>
    <col min="3" max="3" width="10.33203125" style="61" bestFit="1" customWidth="1"/>
    <col min="4" max="4" width="11.88671875" style="54" customWidth="1"/>
    <col min="5" max="5" width="33.33203125" style="54" bestFit="1" customWidth="1"/>
    <col min="6" max="6" width="14.44140625" bestFit="1" customWidth="1"/>
    <col min="7" max="7" width="8.88671875" customWidth="1"/>
    <col min="8" max="8" width="8.5546875" customWidth="1"/>
    <col min="9" max="9" width="9.33203125" bestFit="1" customWidth="1"/>
    <col min="10" max="10" width="8.6640625" bestFit="1" customWidth="1"/>
    <col min="11" max="11" width="90.88671875" bestFit="1" customWidth="1"/>
    <col min="12" max="12" width="8.6640625" bestFit="1" customWidth="1"/>
    <col min="13" max="13" width="10.33203125" customWidth="1"/>
    <col min="14" max="14" width="9.88671875" hidden="1" customWidth="1"/>
    <col min="16" max="17" width="9.5546875" bestFit="1" customWidth="1"/>
  </cols>
  <sheetData>
    <row r="1" spans="1:17" ht="8.25" customHeight="1" x14ac:dyDescent="0.3"/>
    <row r="2" spans="1:17" x14ac:dyDescent="0.3">
      <c r="B2" s="86" t="s">
        <v>3</v>
      </c>
      <c r="C2" s="87"/>
      <c r="D2" s="62"/>
      <c r="E2" s="63"/>
      <c r="F2" s="39">
        <f>SUM(F4:F211)</f>
        <v>291294.10000000021</v>
      </c>
      <c r="G2" s="3"/>
      <c r="H2" s="3"/>
      <c r="I2" s="3"/>
      <c r="J2" s="3"/>
      <c r="K2" s="3"/>
      <c r="L2" s="3"/>
      <c r="M2" s="3" t="s">
        <v>2</v>
      </c>
      <c r="O2" s="3" t="s">
        <v>15</v>
      </c>
      <c r="P2" s="1">
        <v>31201005</v>
      </c>
      <c r="Q2" s="1">
        <v>31201003</v>
      </c>
    </row>
    <row r="3" spans="1:17" x14ac:dyDescent="0.3">
      <c r="A3" t="s">
        <v>310</v>
      </c>
      <c r="B3" s="64" t="s">
        <v>0</v>
      </c>
      <c r="C3" s="65" t="s">
        <v>1</v>
      </c>
      <c r="D3" s="62" t="s">
        <v>5</v>
      </c>
      <c r="E3" s="63" t="s">
        <v>6</v>
      </c>
      <c r="F3" s="2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4"/>
      <c r="L3" s="4"/>
      <c r="M3" s="18">
        <f>SUM(M4:M211)</f>
        <v>291294.10000000021</v>
      </c>
      <c r="O3" s="4"/>
    </row>
    <row r="4" spans="1:17" x14ac:dyDescent="0.3">
      <c r="A4" s="47">
        <v>101</v>
      </c>
      <c r="B4" s="66" t="s">
        <v>12</v>
      </c>
      <c r="C4" s="67">
        <v>13021</v>
      </c>
      <c r="D4" s="68"/>
      <c r="E4" s="66" t="s">
        <v>12</v>
      </c>
      <c r="F4" s="48">
        <v>546.96</v>
      </c>
      <c r="G4" s="49"/>
      <c r="H4" s="49"/>
      <c r="I4" s="49"/>
      <c r="J4" s="49"/>
      <c r="K4" s="49" t="str">
        <f t="shared" ref="K4:K64" si="0">"|"&amp;"PAGTO DOC - "&amp;E4&amp;"|"&amp;"PLANO DE SAUDE - "&amp;B4&amp;"|"&amp;"C CUSTO - "&amp;LEFT(C4,5)&amp;"|"&amp;"TOTAL: "&amp;F4&amp;"|"</f>
        <v>|PAGTO DOC - UNIMED ITUVERAVA|PLANO DE SAUDE - UNIMED ITUVERAVA|C CUSTO - 13021|TOTAL: 546,96|</v>
      </c>
      <c r="L4" s="49"/>
      <c r="M4" s="50">
        <f t="shared" ref="M4" si="1">SUM(F4:L4)</f>
        <v>546.96</v>
      </c>
      <c r="N4" s="1" t="e">
        <f>"|"&amp;"PAGTO DOC - "&amp;F4&amp;"|"&amp;"DESP - "&amp;B4&amp;"|"&amp;"CENTRO CUSTO - "&amp;C4&amp;"|"&amp;I4&amp;"|"&amp;G4&amp;"|"&amp;#REF!&amp;"|"&amp;J4&amp;"|"&amp;H4&amp;"|"&amp;K4&amp;"|"&amp;L4&amp;"|"</f>
        <v>#REF!</v>
      </c>
      <c r="O4" s="1" t="str">
        <f t="shared" ref="O4" si="2">IF(M4=0,0,IF(E4="SEGURO DE VIDA EM GRUPO","31201003","31201005"))</f>
        <v>31201005</v>
      </c>
    </row>
    <row r="5" spans="1:17" x14ac:dyDescent="0.3">
      <c r="A5" s="47">
        <v>101</v>
      </c>
      <c r="B5" s="66" t="s">
        <v>12</v>
      </c>
      <c r="C5" s="67">
        <v>14051</v>
      </c>
      <c r="D5" s="68"/>
      <c r="E5" s="66" t="s">
        <v>12</v>
      </c>
      <c r="F5" s="48">
        <v>2161.2600000000002</v>
      </c>
      <c r="G5" s="49"/>
      <c r="H5" s="49"/>
      <c r="I5" s="49"/>
      <c r="J5" s="49"/>
      <c r="K5" s="49" t="str">
        <f t="shared" si="0"/>
        <v>|PAGTO DOC - UNIMED ITUVERAVA|PLANO DE SAUDE - UNIMED ITUVERAVA|C CUSTO - 14051|TOTAL: 2161,26|</v>
      </c>
      <c r="L5" s="49"/>
      <c r="M5" s="50">
        <f t="shared" ref="M5:M65" si="3">SUM(F5:L5)</f>
        <v>2161.2600000000002</v>
      </c>
      <c r="N5" s="1" t="e">
        <f>"|"&amp;"PAGTO DOC - "&amp;F5&amp;"|"&amp;"DESP - "&amp;B5&amp;"|"&amp;"CENTRO CUSTO - "&amp;C5&amp;"|"&amp;I5&amp;"|"&amp;G5&amp;"|"&amp;#REF!&amp;"|"&amp;J5&amp;"|"&amp;H5&amp;"|"&amp;K5&amp;"|"&amp;L5&amp;"|"</f>
        <v>#REF!</v>
      </c>
      <c r="O5" s="1" t="str">
        <f t="shared" ref="O5:O65" si="4">IF(M5=0,0,IF(E5="SEGURO DE VIDA EM GRUPO","31201003","31201005"))</f>
        <v>31201005</v>
      </c>
    </row>
    <row r="6" spans="1:17" x14ac:dyDescent="0.3">
      <c r="A6" s="47">
        <v>101</v>
      </c>
      <c r="B6" s="66" t="s">
        <v>12</v>
      </c>
      <c r="C6" s="67">
        <v>14058</v>
      </c>
      <c r="D6" s="68"/>
      <c r="E6" s="66" t="s">
        <v>12</v>
      </c>
      <c r="F6" s="48">
        <v>2014.32</v>
      </c>
      <c r="G6" s="49"/>
      <c r="H6" s="49"/>
      <c r="I6" s="49"/>
      <c r="J6" s="49"/>
      <c r="K6" s="49" t="str">
        <f t="shared" si="0"/>
        <v>|PAGTO DOC - UNIMED ITUVERAVA|PLANO DE SAUDE - UNIMED ITUVERAVA|C CUSTO - 14058|TOTAL: 2014,32|</v>
      </c>
      <c r="L6" s="49"/>
      <c r="M6" s="50">
        <f t="shared" si="3"/>
        <v>2014.32</v>
      </c>
      <c r="N6" s="1" t="e">
        <f>"|"&amp;"PAGTO DOC - "&amp;F6&amp;"|"&amp;"DESP - "&amp;B6&amp;"|"&amp;"CENTRO CUSTO - "&amp;C6&amp;"|"&amp;I6&amp;"|"&amp;G6&amp;"|"&amp;#REF!&amp;"|"&amp;J6&amp;"|"&amp;H6&amp;"|"&amp;K6&amp;"|"&amp;L6&amp;"|"</f>
        <v>#REF!</v>
      </c>
      <c r="O6" s="1" t="str">
        <f t="shared" si="4"/>
        <v>31201005</v>
      </c>
    </row>
    <row r="7" spans="1:17" x14ac:dyDescent="0.3">
      <c r="A7" s="47">
        <v>101</v>
      </c>
      <c r="B7" s="66" t="s">
        <v>12</v>
      </c>
      <c r="C7" s="67">
        <v>31060</v>
      </c>
      <c r="D7" s="68"/>
      <c r="E7" s="66" t="s">
        <v>12</v>
      </c>
      <c r="F7" s="48">
        <v>546.96</v>
      </c>
      <c r="G7" s="49"/>
      <c r="H7" s="49"/>
      <c r="I7" s="49"/>
      <c r="J7" s="49"/>
      <c r="K7" s="49" t="str">
        <f t="shared" si="0"/>
        <v>|PAGTO DOC - UNIMED ITUVERAVA|PLANO DE SAUDE - UNIMED ITUVERAVA|C CUSTO - 31060|TOTAL: 546,96|</v>
      </c>
      <c r="L7" s="49"/>
      <c r="M7" s="50">
        <f t="shared" si="3"/>
        <v>546.96</v>
      </c>
      <c r="N7" s="1" t="e">
        <f>"|"&amp;"PAGTO DOC - "&amp;F7&amp;"|"&amp;"DESP - "&amp;B7&amp;"|"&amp;"CENTRO CUSTO - "&amp;C7&amp;"|"&amp;I7&amp;"|"&amp;G7&amp;"|"&amp;#REF!&amp;"|"&amp;J7&amp;"|"&amp;H7&amp;"|"&amp;K7&amp;"|"&amp;L7&amp;"|"</f>
        <v>#REF!</v>
      </c>
      <c r="O7" s="1" t="str">
        <f t="shared" si="4"/>
        <v>31201005</v>
      </c>
    </row>
    <row r="8" spans="1:17" x14ac:dyDescent="0.3">
      <c r="A8" s="47">
        <v>101</v>
      </c>
      <c r="B8" s="66" t="s">
        <v>12</v>
      </c>
      <c r="C8" s="67">
        <v>31070</v>
      </c>
      <c r="D8" s="68"/>
      <c r="E8" s="66" t="s">
        <v>12</v>
      </c>
      <c r="F8" s="48">
        <v>546.96</v>
      </c>
      <c r="G8" s="49"/>
      <c r="H8" s="49"/>
      <c r="I8" s="49"/>
      <c r="J8" s="49"/>
      <c r="K8" s="49" t="str">
        <f t="shared" si="0"/>
        <v>|PAGTO DOC - UNIMED ITUVERAVA|PLANO DE SAUDE - UNIMED ITUVERAVA|C CUSTO - 31070|TOTAL: 546,96|</v>
      </c>
      <c r="L8" s="49"/>
      <c r="M8" s="50">
        <f t="shared" si="3"/>
        <v>546.96</v>
      </c>
      <c r="N8" s="1" t="e">
        <f>"|"&amp;"PAGTO DOC - "&amp;F8&amp;"|"&amp;"DESP - "&amp;B8&amp;"|"&amp;"CENTRO CUSTO - "&amp;C8&amp;"|"&amp;I8&amp;"|"&amp;G8&amp;"|"&amp;#REF!&amp;"|"&amp;J8&amp;"|"&amp;H8&amp;"|"&amp;K8&amp;"|"&amp;L8&amp;"|"</f>
        <v>#REF!</v>
      </c>
      <c r="O8" s="1" t="str">
        <f t="shared" si="4"/>
        <v>31201005</v>
      </c>
    </row>
    <row r="9" spans="1:17" x14ac:dyDescent="0.3">
      <c r="A9" s="47">
        <v>101</v>
      </c>
      <c r="B9" s="66" t="s">
        <v>12</v>
      </c>
      <c r="C9" s="67">
        <v>31114</v>
      </c>
      <c r="D9" s="68"/>
      <c r="E9" s="66" t="s">
        <v>12</v>
      </c>
      <c r="F9" s="48">
        <v>2417.1400000000003</v>
      </c>
      <c r="G9" s="49"/>
      <c r="H9" s="49"/>
      <c r="I9" s="49"/>
      <c r="J9" s="49"/>
      <c r="K9" s="49" t="str">
        <f t="shared" si="0"/>
        <v>|PAGTO DOC - UNIMED ITUVERAVA|PLANO DE SAUDE - UNIMED ITUVERAVA|C CUSTO - 31114|TOTAL: 2417,14|</v>
      </c>
      <c r="L9" s="49"/>
      <c r="M9" s="50">
        <f t="shared" si="3"/>
        <v>2417.1400000000003</v>
      </c>
      <c r="N9" s="1" t="e">
        <f>"|"&amp;"PAGTO DOC - "&amp;F9&amp;"|"&amp;"DESP - "&amp;B9&amp;"|"&amp;"CENTRO CUSTO - "&amp;C9&amp;"|"&amp;I9&amp;"|"&amp;G9&amp;"|"&amp;#REF!&amp;"|"&amp;J9&amp;"|"&amp;H9&amp;"|"&amp;K9&amp;"|"&amp;L9&amp;"|"</f>
        <v>#REF!</v>
      </c>
      <c r="O9" s="1" t="str">
        <f t="shared" si="4"/>
        <v>31201005</v>
      </c>
    </row>
    <row r="10" spans="1:17" x14ac:dyDescent="0.3">
      <c r="A10" s="47">
        <v>101</v>
      </c>
      <c r="B10" s="66" t="s">
        <v>12</v>
      </c>
      <c r="C10" s="67" t="s">
        <v>332</v>
      </c>
      <c r="D10" s="68"/>
      <c r="E10" s="66" t="s">
        <v>12</v>
      </c>
      <c r="F10" s="48">
        <v>1093.92</v>
      </c>
      <c r="G10" s="49"/>
      <c r="H10" s="49"/>
      <c r="I10" s="49"/>
      <c r="J10" s="49"/>
      <c r="K10" s="49" t="str">
        <f t="shared" si="0"/>
        <v>|PAGTO DOC - UNIMED ITUVERAVA|PLANO DE SAUDE - UNIMED ITUVERAVA|C CUSTO - 11012|TOTAL: 1093,92|</v>
      </c>
      <c r="L10" s="49"/>
      <c r="M10" s="50">
        <f t="shared" si="3"/>
        <v>1093.92</v>
      </c>
      <c r="N10" s="1" t="e">
        <f>"|"&amp;"PAGTO DOC - "&amp;F10&amp;"|"&amp;"DESP - "&amp;B10&amp;"|"&amp;"CENTRO CUSTO - "&amp;C10&amp;"|"&amp;I10&amp;"|"&amp;G10&amp;"|"&amp;#REF!&amp;"|"&amp;J10&amp;"|"&amp;H10&amp;"|"&amp;K10&amp;"|"&amp;L10&amp;"|"</f>
        <v>#REF!</v>
      </c>
      <c r="O10" s="1" t="str">
        <f t="shared" si="4"/>
        <v>31201005</v>
      </c>
    </row>
    <row r="11" spans="1:17" x14ac:dyDescent="0.3">
      <c r="A11" s="47">
        <v>101</v>
      </c>
      <c r="B11" s="66" t="s">
        <v>12</v>
      </c>
      <c r="C11" s="67" t="s">
        <v>333</v>
      </c>
      <c r="D11" s="68"/>
      <c r="E11" s="66" t="s">
        <v>12</v>
      </c>
      <c r="F11" s="48">
        <v>1323.22</v>
      </c>
      <c r="G11" s="49"/>
      <c r="H11" s="49"/>
      <c r="I11" s="49"/>
      <c r="J11" s="49"/>
      <c r="K11" s="49" t="str">
        <f t="shared" si="0"/>
        <v>|PAGTO DOC - UNIMED ITUVERAVA|PLANO DE SAUDE - UNIMED ITUVERAVA|C CUSTO - 13011|TOTAL: 1323,22|</v>
      </c>
      <c r="L11" s="49"/>
      <c r="M11" s="50">
        <f t="shared" si="3"/>
        <v>1323.22</v>
      </c>
      <c r="N11" s="1" t="e">
        <f>"|"&amp;"PAGTO DOC - "&amp;F11&amp;"|"&amp;"DESP - "&amp;B11&amp;"|"&amp;"CENTRO CUSTO - "&amp;C11&amp;"|"&amp;I11&amp;"|"&amp;G11&amp;"|"&amp;#REF!&amp;"|"&amp;J11&amp;"|"&amp;H11&amp;"|"&amp;K11&amp;"|"&amp;L11&amp;"|"</f>
        <v>#REF!</v>
      </c>
      <c r="O11" s="1" t="str">
        <f t="shared" si="4"/>
        <v>31201005</v>
      </c>
    </row>
    <row r="12" spans="1:17" x14ac:dyDescent="0.3">
      <c r="A12" s="47">
        <v>101</v>
      </c>
      <c r="B12" s="66" t="s">
        <v>12</v>
      </c>
      <c r="C12" s="67" t="s">
        <v>334</v>
      </c>
      <c r="D12" s="68"/>
      <c r="E12" s="66" t="s">
        <v>12</v>
      </c>
      <c r="F12" s="48">
        <v>1005.56</v>
      </c>
      <c r="G12" s="49"/>
      <c r="H12" s="49"/>
      <c r="I12" s="49"/>
      <c r="J12" s="49"/>
      <c r="K12" s="49" t="str">
        <f t="shared" si="0"/>
        <v>|PAGTO DOC - UNIMED ITUVERAVA|PLANO DE SAUDE - UNIMED ITUVERAVA|C CUSTO - 13012|TOTAL: 1005,56|</v>
      </c>
      <c r="L12" s="49"/>
      <c r="M12" s="50">
        <f t="shared" si="3"/>
        <v>1005.56</v>
      </c>
      <c r="N12" s="1" t="e">
        <f>"|"&amp;"PAGTO DOC - "&amp;F12&amp;"|"&amp;"DESP - "&amp;B12&amp;"|"&amp;"CENTRO CUSTO - "&amp;C12&amp;"|"&amp;I12&amp;"|"&amp;G12&amp;"|"&amp;#REF!&amp;"|"&amp;J12&amp;"|"&amp;H12&amp;"|"&amp;K12&amp;"|"&amp;L12&amp;"|"</f>
        <v>#REF!</v>
      </c>
      <c r="O12" s="1" t="str">
        <f t="shared" si="4"/>
        <v>31201005</v>
      </c>
    </row>
    <row r="13" spans="1:17" x14ac:dyDescent="0.3">
      <c r="A13" s="47">
        <v>101</v>
      </c>
      <c r="B13" s="66" t="s">
        <v>12</v>
      </c>
      <c r="C13" s="67" t="s">
        <v>335</v>
      </c>
      <c r="D13" s="68"/>
      <c r="E13" s="66" t="s">
        <v>12</v>
      </c>
      <c r="F13" s="48">
        <v>8067.4400000000005</v>
      </c>
      <c r="G13" s="49"/>
      <c r="H13" s="49"/>
      <c r="I13" s="49"/>
      <c r="J13" s="49"/>
      <c r="K13" s="49" t="str">
        <f t="shared" si="0"/>
        <v>|PAGTO DOC - UNIMED ITUVERAVA|PLANO DE SAUDE - UNIMED ITUVERAVA|C CUSTO - 13013|TOTAL: 8067,44|</v>
      </c>
      <c r="L13" s="49"/>
      <c r="M13" s="50">
        <f t="shared" si="3"/>
        <v>8067.4400000000005</v>
      </c>
      <c r="N13" s="1" t="e">
        <f>"|"&amp;"PAGTO DOC - "&amp;F13&amp;"|"&amp;"DESP - "&amp;B13&amp;"|"&amp;"CENTRO CUSTO - "&amp;C13&amp;"|"&amp;I13&amp;"|"&amp;G13&amp;"|"&amp;#REF!&amp;"|"&amp;J13&amp;"|"&amp;H13&amp;"|"&amp;K13&amp;"|"&amp;L13&amp;"|"</f>
        <v>#REF!</v>
      </c>
      <c r="O13" s="1" t="str">
        <f t="shared" si="4"/>
        <v>31201005</v>
      </c>
    </row>
    <row r="14" spans="1:17" x14ac:dyDescent="0.3">
      <c r="A14" s="47">
        <v>101</v>
      </c>
      <c r="B14" s="66" t="s">
        <v>12</v>
      </c>
      <c r="C14" s="67" t="s">
        <v>336</v>
      </c>
      <c r="D14" s="68"/>
      <c r="E14" s="66" t="s">
        <v>12</v>
      </c>
      <c r="F14" s="48">
        <v>2187.84</v>
      </c>
      <c r="G14" s="49"/>
      <c r="H14" s="49"/>
      <c r="I14" s="49"/>
      <c r="J14" s="49"/>
      <c r="K14" s="49" t="str">
        <f t="shared" si="0"/>
        <v>|PAGTO DOC - UNIMED ITUVERAVA|PLANO DE SAUDE - UNIMED ITUVERAVA|C CUSTO - 13014|TOTAL: 2187,84|</v>
      </c>
      <c r="L14" s="49"/>
      <c r="M14" s="50">
        <f t="shared" si="3"/>
        <v>2187.84</v>
      </c>
      <c r="N14" s="1" t="e">
        <f>"|"&amp;"PAGTO DOC - "&amp;F14&amp;"|"&amp;"DESP - "&amp;B14&amp;"|"&amp;"CENTRO CUSTO - "&amp;C14&amp;"|"&amp;I14&amp;"|"&amp;G14&amp;"|"&amp;#REF!&amp;"|"&amp;J14&amp;"|"&amp;H14&amp;"|"&amp;K14&amp;"|"&amp;L14&amp;"|"</f>
        <v>#REF!</v>
      </c>
      <c r="O14" s="1" t="str">
        <f t="shared" si="4"/>
        <v>31201005</v>
      </c>
    </row>
    <row r="15" spans="1:17" x14ac:dyDescent="0.3">
      <c r="A15" s="47">
        <v>101</v>
      </c>
      <c r="B15" s="66" t="s">
        <v>12</v>
      </c>
      <c r="C15" s="67" t="s">
        <v>337</v>
      </c>
      <c r="D15" s="68"/>
      <c r="E15" s="66" t="s">
        <v>12</v>
      </c>
      <c r="F15" s="48">
        <v>1464.16</v>
      </c>
      <c r="G15" s="49"/>
      <c r="H15" s="49"/>
      <c r="I15" s="49"/>
      <c r="J15" s="49"/>
      <c r="K15" s="49" t="str">
        <f t="shared" si="0"/>
        <v>|PAGTO DOC - UNIMED ITUVERAVA|PLANO DE SAUDE - UNIMED ITUVERAVA|C CUSTO - 13016|TOTAL: 1464,16|</v>
      </c>
      <c r="L15" s="49"/>
      <c r="M15" s="50">
        <f t="shared" si="3"/>
        <v>1464.16</v>
      </c>
      <c r="N15" s="1" t="e">
        <f>"|"&amp;"PAGTO DOC - "&amp;F15&amp;"|"&amp;"DESP - "&amp;B15&amp;"|"&amp;"CENTRO CUSTO - "&amp;C15&amp;"|"&amp;I15&amp;"|"&amp;G15&amp;"|"&amp;#REF!&amp;"|"&amp;J15&amp;"|"&amp;H15&amp;"|"&amp;K15&amp;"|"&amp;L15&amp;"|"</f>
        <v>#REF!</v>
      </c>
      <c r="O15" s="1" t="str">
        <f t="shared" si="4"/>
        <v>31201005</v>
      </c>
    </row>
    <row r="16" spans="1:17" x14ac:dyDescent="0.3">
      <c r="A16" s="47">
        <v>101</v>
      </c>
      <c r="B16" s="66" t="s">
        <v>12</v>
      </c>
      <c r="C16" s="67" t="s">
        <v>400</v>
      </c>
      <c r="D16" s="68"/>
      <c r="E16" s="66" t="s">
        <v>12</v>
      </c>
      <c r="F16" s="48">
        <v>1640.88</v>
      </c>
      <c r="G16" s="49"/>
      <c r="H16" s="49"/>
      <c r="I16" s="49"/>
      <c r="J16" s="49"/>
      <c r="K16" s="49" t="str">
        <f t="shared" si="0"/>
        <v>|PAGTO DOC - UNIMED ITUVERAVA|PLANO DE SAUDE - UNIMED ITUVERAVA|C CUSTO - 13017|TOTAL: 1640,88|</v>
      </c>
      <c r="L16" s="49"/>
      <c r="M16" s="50">
        <f t="shared" si="3"/>
        <v>1640.88</v>
      </c>
      <c r="N16" s="1" t="e">
        <f>"|"&amp;"PAGTO DOC - "&amp;F16&amp;"|"&amp;"DESP - "&amp;B16&amp;"|"&amp;"CENTRO CUSTO - "&amp;C16&amp;"|"&amp;I16&amp;"|"&amp;G16&amp;"|"&amp;#REF!&amp;"|"&amp;J16&amp;"|"&amp;H16&amp;"|"&amp;K16&amp;"|"&amp;L16&amp;"|"</f>
        <v>#REF!</v>
      </c>
      <c r="O16" s="1" t="str">
        <f t="shared" si="4"/>
        <v>31201005</v>
      </c>
    </row>
    <row r="17" spans="1:15" x14ac:dyDescent="0.3">
      <c r="A17" s="47">
        <v>101</v>
      </c>
      <c r="B17" s="66" t="s">
        <v>12</v>
      </c>
      <c r="C17" s="67" t="s">
        <v>338</v>
      </c>
      <c r="D17" s="68"/>
      <c r="E17" s="66" t="s">
        <v>12</v>
      </c>
      <c r="F17" s="48">
        <v>1005.5600000000001</v>
      </c>
      <c r="G17" s="49"/>
      <c r="H17" s="49"/>
      <c r="I17" s="49"/>
      <c r="J17" s="49"/>
      <c r="K17" s="49" t="str">
        <f t="shared" si="0"/>
        <v>|PAGTO DOC - UNIMED ITUVERAVA|PLANO DE SAUDE - UNIMED ITUVERAVA|C CUSTO - 13018|TOTAL: 1005,56|</v>
      </c>
      <c r="L17" s="49"/>
      <c r="M17" s="50">
        <f t="shared" si="3"/>
        <v>1005.5600000000001</v>
      </c>
      <c r="N17" s="1" t="e">
        <f>"|"&amp;"PAGTO DOC - "&amp;F17&amp;"|"&amp;"DESP - "&amp;B17&amp;"|"&amp;"CENTRO CUSTO - "&amp;C17&amp;"|"&amp;I17&amp;"|"&amp;G17&amp;"|"&amp;#REF!&amp;"|"&amp;J17&amp;"|"&amp;H17&amp;"|"&amp;K17&amp;"|"&amp;L17&amp;"|"</f>
        <v>#REF!</v>
      </c>
      <c r="O17" s="1" t="str">
        <f t="shared" si="4"/>
        <v>31201005</v>
      </c>
    </row>
    <row r="18" spans="1:15" x14ac:dyDescent="0.3">
      <c r="A18" s="47">
        <v>101</v>
      </c>
      <c r="B18" s="66" t="s">
        <v>12</v>
      </c>
      <c r="C18" s="67" t="s">
        <v>401</v>
      </c>
      <c r="D18" s="68"/>
      <c r="E18" s="66" t="s">
        <v>12</v>
      </c>
      <c r="F18" s="48">
        <v>776.26</v>
      </c>
      <c r="G18" s="49"/>
      <c r="H18" s="49"/>
      <c r="I18" s="49"/>
      <c r="J18" s="49"/>
      <c r="K18" s="49" t="str">
        <f t="shared" si="0"/>
        <v>|PAGTO DOC - UNIMED ITUVERAVA|PLANO DE SAUDE - UNIMED ITUVERAVA|C CUSTO - 13019|TOTAL: 776,26|</v>
      </c>
      <c r="L18" s="49"/>
      <c r="M18" s="50">
        <f t="shared" si="3"/>
        <v>776.26</v>
      </c>
      <c r="N18" s="1" t="e">
        <f>"|"&amp;"PAGTO DOC - "&amp;F18&amp;"|"&amp;"DESP - "&amp;B18&amp;"|"&amp;"CENTRO CUSTO - "&amp;C18&amp;"|"&amp;I18&amp;"|"&amp;G18&amp;"|"&amp;#REF!&amp;"|"&amp;J18&amp;"|"&amp;H18&amp;"|"&amp;K18&amp;"|"&amp;L18&amp;"|"</f>
        <v>#REF!</v>
      </c>
      <c r="O18" s="1" t="str">
        <f t="shared" si="4"/>
        <v>31201005</v>
      </c>
    </row>
    <row r="19" spans="1:15" x14ac:dyDescent="0.3">
      <c r="A19" s="47">
        <v>101</v>
      </c>
      <c r="B19" s="66" t="s">
        <v>12</v>
      </c>
      <c r="C19" s="67" t="s">
        <v>402</v>
      </c>
      <c r="D19" s="68"/>
      <c r="E19" s="66" t="s">
        <v>12</v>
      </c>
      <c r="F19" s="48">
        <v>2646.4400000000005</v>
      </c>
      <c r="G19" s="49"/>
      <c r="H19" s="49"/>
      <c r="I19" s="49"/>
      <c r="J19" s="49"/>
      <c r="K19" s="49" t="str">
        <f t="shared" si="0"/>
        <v>|PAGTO DOC - UNIMED ITUVERAVA|PLANO DE SAUDE - UNIMED ITUVERAVA|C CUSTO - 13021|TOTAL: 2646,44|</v>
      </c>
      <c r="L19" s="49"/>
      <c r="M19" s="50">
        <f t="shared" si="3"/>
        <v>2646.4400000000005</v>
      </c>
      <c r="N19" s="1" t="e">
        <f>"|"&amp;"PAGTO DOC - "&amp;F19&amp;"|"&amp;"DESP - "&amp;B19&amp;"|"&amp;"CENTRO CUSTO - "&amp;C19&amp;"|"&amp;I19&amp;"|"&amp;G19&amp;"|"&amp;#REF!&amp;"|"&amp;J19&amp;"|"&amp;H19&amp;"|"&amp;K19&amp;"|"&amp;L19&amp;"|"</f>
        <v>#REF!</v>
      </c>
      <c r="O19" s="1" t="str">
        <f t="shared" si="4"/>
        <v>31201005</v>
      </c>
    </row>
    <row r="20" spans="1:15" x14ac:dyDescent="0.3">
      <c r="A20" s="47">
        <v>101</v>
      </c>
      <c r="B20" s="66" t="s">
        <v>12</v>
      </c>
      <c r="C20" s="67" t="s">
        <v>339</v>
      </c>
      <c r="D20" s="68"/>
      <c r="E20" s="66" t="s">
        <v>12</v>
      </c>
      <c r="F20" s="48">
        <v>1870.18</v>
      </c>
      <c r="G20" s="49"/>
      <c r="H20" s="49"/>
      <c r="I20" s="49"/>
      <c r="J20" s="49"/>
      <c r="K20" s="49" t="str">
        <f t="shared" si="0"/>
        <v>|PAGTO DOC - UNIMED ITUVERAVA|PLANO DE SAUDE - UNIMED ITUVERAVA|C CUSTO - 14012|TOTAL: 1870,18|</v>
      </c>
      <c r="L20" s="49"/>
      <c r="M20" s="50">
        <f t="shared" si="3"/>
        <v>1870.18</v>
      </c>
      <c r="N20" s="1" t="e">
        <f>"|"&amp;"PAGTO DOC - "&amp;F20&amp;"|"&amp;"DESP - "&amp;B20&amp;"|"&amp;"CENTRO CUSTO - "&amp;C20&amp;"|"&amp;I20&amp;"|"&amp;G20&amp;"|"&amp;#REF!&amp;"|"&amp;J20&amp;"|"&amp;H20&amp;"|"&amp;K20&amp;"|"&amp;L20&amp;"|"</f>
        <v>#REF!</v>
      </c>
      <c r="O20" s="1" t="str">
        <f t="shared" si="4"/>
        <v>31201005</v>
      </c>
    </row>
    <row r="21" spans="1:15" x14ac:dyDescent="0.3">
      <c r="A21" s="47">
        <v>101</v>
      </c>
      <c r="B21" s="66" t="s">
        <v>12</v>
      </c>
      <c r="C21" s="67" t="s">
        <v>340</v>
      </c>
      <c r="D21" s="68"/>
      <c r="E21" s="66" t="s">
        <v>12</v>
      </c>
      <c r="F21" s="48">
        <v>2707.02</v>
      </c>
      <c r="G21" s="49"/>
      <c r="H21" s="49"/>
      <c r="I21" s="49"/>
      <c r="J21" s="49"/>
      <c r="K21" s="49" t="str">
        <f t="shared" si="0"/>
        <v>|PAGTO DOC - UNIMED ITUVERAVA|PLANO DE SAUDE - UNIMED ITUVERAVA|C CUSTO - 14051|TOTAL: 2707,02|</v>
      </c>
      <c r="L21" s="49"/>
      <c r="M21" s="50">
        <f t="shared" si="3"/>
        <v>2707.02</v>
      </c>
      <c r="N21" s="1" t="e">
        <f>"|"&amp;"PAGTO DOC - "&amp;F21&amp;"|"&amp;"DESP - "&amp;B21&amp;"|"&amp;"CENTRO CUSTO - "&amp;C21&amp;"|"&amp;I21&amp;"|"&amp;G21&amp;"|"&amp;#REF!&amp;"|"&amp;J21&amp;"|"&amp;H21&amp;"|"&amp;K21&amp;"|"&amp;L21&amp;"|"</f>
        <v>#REF!</v>
      </c>
      <c r="O21" s="1" t="str">
        <f t="shared" si="4"/>
        <v>31201005</v>
      </c>
    </row>
    <row r="22" spans="1:15" x14ac:dyDescent="0.3">
      <c r="A22" s="47">
        <v>101</v>
      </c>
      <c r="B22" s="66" t="s">
        <v>12</v>
      </c>
      <c r="C22" s="67" t="s">
        <v>403</v>
      </c>
      <c r="D22" s="68"/>
      <c r="E22" s="66" t="s">
        <v>12</v>
      </c>
      <c r="F22" s="48">
        <v>229.3</v>
      </c>
      <c r="G22" s="49"/>
      <c r="H22" s="49"/>
      <c r="I22" s="49"/>
      <c r="J22" s="49"/>
      <c r="K22" s="49" t="str">
        <f t="shared" si="0"/>
        <v>|PAGTO DOC - UNIMED ITUVERAVA|PLANO DE SAUDE - UNIMED ITUVERAVA|C CUSTO - 15051|TOTAL: 229,3|</v>
      </c>
      <c r="L22" s="49"/>
      <c r="M22" s="50">
        <f t="shared" si="3"/>
        <v>229.3</v>
      </c>
      <c r="N22" s="1" t="e">
        <f>"|"&amp;"PAGTO DOC - "&amp;F22&amp;"|"&amp;"DESP - "&amp;B22&amp;"|"&amp;"CENTRO CUSTO - "&amp;C22&amp;"|"&amp;I22&amp;"|"&amp;G22&amp;"|"&amp;#REF!&amp;"|"&amp;J22&amp;"|"&amp;H22&amp;"|"&amp;K22&amp;"|"&amp;L22&amp;"|"</f>
        <v>#REF!</v>
      </c>
      <c r="O22" s="1" t="str">
        <f t="shared" si="4"/>
        <v>31201005</v>
      </c>
    </row>
    <row r="23" spans="1:15" x14ac:dyDescent="0.3">
      <c r="A23" s="47">
        <v>101</v>
      </c>
      <c r="B23" s="66" t="s">
        <v>12</v>
      </c>
      <c r="C23" s="67" t="s">
        <v>344</v>
      </c>
      <c r="D23" s="68"/>
      <c r="E23" s="66" t="s">
        <v>12</v>
      </c>
      <c r="F23" s="48">
        <v>458.6</v>
      </c>
      <c r="G23" s="49"/>
      <c r="H23" s="49"/>
      <c r="I23" s="49"/>
      <c r="J23" s="49"/>
      <c r="K23" s="49" t="str">
        <f t="shared" si="0"/>
        <v>|PAGTO DOC - UNIMED ITUVERAVA|PLANO DE SAUDE - UNIMED ITUVERAVA|C CUSTO - 21011|TOTAL: 458,6|</v>
      </c>
      <c r="L23" s="49"/>
      <c r="M23" s="50">
        <f t="shared" si="3"/>
        <v>458.6</v>
      </c>
      <c r="N23" s="1" t="e">
        <f>"|"&amp;"PAGTO DOC - "&amp;F23&amp;"|"&amp;"DESP - "&amp;B23&amp;"|"&amp;"CENTRO CUSTO - "&amp;C23&amp;"|"&amp;I23&amp;"|"&amp;G23&amp;"|"&amp;#REF!&amp;"|"&amp;J23&amp;"|"&amp;H23&amp;"|"&amp;K23&amp;"|"&amp;L23&amp;"|"</f>
        <v>#REF!</v>
      </c>
      <c r="O23" s="1" t="str">
        <f t="shared" si="4"/>
        <v>31201005</v>
      </c>
    </row>
    <row r="24" spans="1:15" x14ac:dyDescent="0.3">
      <c r="A24" s="47">
        <v>101</v>
      </c>
      <c r="B24" s="66" t="s">
        <v>12</v>
      </c>
      <c r="C24" s="67" t="s">
        <v>345</v>
      </c>
      <c r="D24" s="68"/>
      <c r="E24" s="66" t="s">
        <v>12</v>
      </c>
      <c r="F24" s="48">
        <v>3652</v>
      </c>
      <c r="G24" s="49"/>
      <c r="H24" s="49"/>
      <c r="I24" s="49"/>
      <c r="J24" s="49"/>
      <c r="K24" s="49" t="str">
        <f t="shared" si="0"/>
        <v>|PAGTO DOC - UNIMED ITUVERAVA|PLANO DE SAUDE - UNIMED ITUVERAVA|C CUSTO - 21012|TOTAL: 3652|</v>
      </c>
      <c r="L24" s="49"/>
      <c r="M24" s="50">
        <f t="shared" si="3"/>
        <v>3652</v>
      </c>
      <c r="N24" s="1" t="e">
        <f>"|"&amp;"PAGTO DOC - "&amp;F24&amp;"|"&amp;"DESP - "&amp;B24&amp;"|"&amp;"CENTRO CUSTO - "&amp;C24&amp;"|"&amp;I24&amp;"|"&amp;G24&amp;"|"&amp;#REF!&amp;"|"&amp;J24&amp;"|"&amp;H24&amp;"|"&amp;K24&amp;"|"&amp;L24&amp;"|"</f>
        <v>#REF!</v>
      </c>
      <c r="O24" s="1" t="str">
        <f t="shared" si="4"/>
        <v>31201005</v>
      </c>
    </row>
    <row r="25" spans="1:15" x14ac:dyDescent="0.3">
      <c r="A25" s="47">
        <v>101</v>
      </c>
      <c r="B25" s="66" t="s">
        <v>12</v>
      </c>
      <c r="C25" s="67" t="s">
        <v>404</v>
      </c>
      <c r="D25" s="68"/>
      <c r="E25" s="66" t="s">
        <v>12</v>
      </c>
      <c r="F25" s="48">
        <v>1093.92</v>
      </c>
      <c r="G25" s="49"/>
      <c r="H25" s="49"/>
      <c r="I25" s="49"/>
      <c r="J25" s="49"/>
      <c r="K25" s="49" t="str">
        <f t="shared" si="0"/>
        <v>|PAGTO DOC - UNIMED ITUVERAVA|PLANO DE SAUDE - UNIMED ITUVERAVA|C CUSTO - 21013|TOTAL: 1093,92|</v>
      </c>
      <c r="L25" s="49"/>
      <c r="M25" s="50">
        <f t="shared" si="3"/>
        <v>1093.92</v>
      </c>
      <c r="N25" s="1" t="e">
        <f>"|"&amp;"PAGTO DOC - "&amp;F25&amp;"|"&amp;"DESP - "&amp;B25&amp;"|"&amp;"CENTRO CUSTO - "&amp;C25&amp;"|"&amp;I25&amp;"|"&amp;G25&amp;"|"&amp;#REF!&amp;"|"&amp;J25&amp;"|"&amp;H25&amp;"|"&amp;K25&amp;"|"&amp;L25&amp;"|"</f>
        <v>#REF!</v>
      </c>
      <c r="O25" s="1" t="str">
        <f t="shared" si="4"/>
        <v>31201005</v>
      </c>
    </row>
    <row r="26" spans="1:15" x14ac:dyDescent="0.3">
      <c r="A26" s="47">
        <v>101</v>
      </c>
      <c r="B26" s="66" t="s">
        <v>12</v>
      </c>
      <c r="C26" s="67" t="s">
        <v>346</v>
      </c>
      <c r="D26" s="68"/>
      <c r="E26" s="66" t="s">
        <v>12</v>
      </c>
      <c r="F26" s="48">
        <v>1968.24</v>
      </c>
      <c r="G26" s="49"/>
      <c r="H26" s="49"/>
      <c r="I26" s="49"/>
      <c r="J26" s="49"/>
      <c r="K26" s="49" t="str">
        <f t="shared" si="0"/>
        <v>|PAGTO DOC - UNIMED ITUVERAVA|PLANO DE SAUDE - UNIMED ITUVERAVA|C CUSTO - 31040|TOTAL: 1968,24|</v>
      </c>
      <c r="L26" s="49"/>
      <c r="M26" s="50">
        <f t="shared" si="3"/>
        <v>1968.24</v>
      </c>
      <c r="N26" s="1" t="e">
        <f>"|"&amp;"PAGTO DOC - "&amp;F26&amp;"|"&amp;"DESP - "&amp;B26&amp;"|"&amp;"CENTRO CUSTO - "&amp;C26&amp;"|"&amp;I26&amp;"|"&amp;G26&amp;"|"&amp;#REF!&amp;"|"&amp;J26&amp;"|"&amp;H26&amp;"|"&amp;K26&amp;"|"&amp;L26&amp;"|"</f>
        <v>#REF!</v>
      </c>
      <c r="O26" s="1" t="str">
        <f t="shared" si="4"/>
        <v>31201005</v>
      </c>
    </row>
    <row r="27" spans="1:15" x14ac:dyDescent="0.3">
      <c r="A27" s="47">
        <v>101</v>
      </c>
      <c r="B27" s="66" t="s">
        <v>12</v>
      </c>
      <c r="C27" s="67" t="s">
        <v>347</v>
      </c>
      <c r="D27" s="68"/>
      <c r="E27" s="66" t="s">
        <v>12</v>
      </c>
      <c r="F27" s="48">
        <v>16599.679999999989</v>
      </c>
      <c r="G27" s="49"/>
      <c r="H27" s="49"/>
      <c r="I27" s="49"/>
      <c r="J27" s="49"/>
      <c r="K27" s="49" t="str">
        <f t="shared" si="0"/>
        <v>|PAGTO DOC - UNIMED ITUVERAVA|PLANO DE SAUDE - UNIMED ITUVERAVA|C CUSTO - 31060|TOTAL: 16599,68|</v>
      </c>
      <c r="L27" s="49"/>
      <c r="M27" s="50">
        <f t="shared" si="3"/>
        <v>16599.679999999989</v>
      </c>
      <c r="N27" s="1" t="e">
        <f>"|"&amp;"PAGTO DOC - "&amp;F27&amp;"|"&amp;"DESP - "&amp;B27&amp;"|"&amp;"CENTRO CUSTO - "&amp;C27&amp;"|"&amp;I27&amp;"|"&amp;G27&amp;"|"&amp;#REF!&amp;"|"&amp;J27&amp;"|"&amp;H27&amp;"|"&amp;K27&amp;"|"&amp;L27&amp;"|"</f>
        <v>#REF!</v>
      </c>
      <c r="O27" s="1" t="str">
        <f t="shared" si="4"/>
        <v>31201005</v>
      </c>
    </row>
    <row r="28" spans="1:15" x14ac:dyDescent="0.3">
      <c r="A28" s="47">
        <v>101</v>
      </c>
      <c r="B28" s="66" t="s">
        <v>12</v>
      </c>
      <c r="C28" s="67" t="s">
        <v>348</v>
      </c>
      <c r="D28" s="68"/>
      <c r="E28" s="66" t="s">
        <v>12</v>
      </c>
      <c r="F28" s="48">
        <v>2558.08</v>
      </c>
      <c r="G28" s="49"/>
      <c r="H28" s="49"/>
      <c r="I28" s="49"/>
      <c r="J28" s="49"/>
      <c r="K28" s="49" t="str">
        <f t="shared" si="0"/>
        <v>|PAGTO DOC - UNIMED ITUVERAVA|PLANO DE SAUDE - UNIMED ITUVERAVA|C CUSTO - 31070|TOTAL: 2558,08|</v>
      </c>
      <c r="L28" s="49"/>
      <c r="M28" s="50">
        <f t="shared" si="3"/>
        <v>2558.08</v>
      </c>
      <c r="N28" s="1" t="e">
        <f>"|"&amp;"PAGTO DOC - "&amp;F28&amp;"|"&amp;"DESP - "&amp;B28&amp;"|"&amp;"CENTRO CUSTO - "&amp;C28&amp;"|"&amp;I28&amp;"|"&amp;G28&amp;"|"&amp;#REF!&amp;"|"&amp;J28&amp;"|"&amp;H28&amp;"|"&amp;K28&amp;"|"&amp;L28&amp;"|"</f>
        <v>#REF!</v>
      </c>
      <c r="O28" s="1" t="str">
        <f t="shared" si="4"/>
        <v>31201005</v>
      </c>
    </row>
    <row r="29" spans="1:15" x14ac:dyDescent="0.3">
      <c r="A29" s="47">
        <v>101</v>
      </c>
      <c r="B29" s="66" t="s">
        <v>12</v>
      </c>
      <c r="C29" s="67" t="s">
        <v>349</v>
      </c>
      <c r="D29" s="68"/>
      <c r="E29" s="66" t="s">
        <v>12</v>
      </c>
      <c r="F29" s="48">
        <v>10091.379999999997</v>
      </c>
      <c r="G29" s="49"/>
      <c r="H29" s="49"/>
      <c r="I29" s="49"/>
      <c r="J29" s="49"/>
      <c r="K29" s="49" t="str">
        <f t="shared" si="0"/>
        <v>|PAGTO DOC - UNIMED ITUVERAVA|PLANO DE SAUDE - UNIMED ITUVERAVA|C CUSTO - 31090|TOTAL: 10091,38|</v>
      </c>
      <c r="L29" s="49"/>
      <c r="M29" s="50">
        <f t="shared" si="3"/>
        <v>10091.379999999997</v>
      </c>
      <c r="N29" s="1" t="e">
        <f>"|"&amp;"PAGTO DOC - "&amp;F29&amp;"|"&amp;"DESP - "&amp;B29&amp;"|"&amp;"CENTRO CUSTO - "&amp;C29&amp;"|"&amp;I29&amp;"|"&amp;G29&amp;"|"&amp;#REF!&amp;"|"&amp;J29&amp;"|"&amp;H29&amp;"|"&amp;K29&amp;"|"&amp;L29&amp;"|"</f>
        <v>#REF!</v>
      </c>
      <c r="O29" s="1" t="str">
        <f t="shared" si="4"/>
        <v>31201005</v>
      </c>
    </row>
    <row r="30" spans="1:15" x14ac:dyDescent="0.3">
      <c r="A30" s="47">
        <v>101</v>
      </c>
      <c r="B30" s="66" t="s">
        <v>12</v>
      </c>
      <c r="C30" s="67" t="s">
        <v>405</v>
      </c>
      <c r="D30" s="68"/>
      <c r="E30" s="66" t="s">
        <v>12</v>
      </c>
      <c r="F30" s="48">
        <v>2240.42</v>
      </c>
      <c r="G30" s="49"/>
      <c r="H30" s="49"/>
      <c r="I30" s="49"/>
      <c r="J30" s="49"/>
      <c r="K30" s="49" t="str">
        <f t="shared" si="0"/>
        <v>|PAGTO DOC - UNIMED ITUVERAVA|PLANO DE SAUDE - UNIMED ITUVERAVA|C CUSTO - 31100|TOTAL: 2240,42|</v>
      </c>
      <c r="L30" s="49"/>
      <c r="M30" s="50">
        <f t="shared" si="3"/>
        <v>2240.42</v>
      </c>
      <c r="N30" s="1" t="e">
        <f>"|"&amp;"PAGTO DOC - "&amp;F30&amp;"|"&amp;"DESP - "&amp;B30&amp;"|"&amp;"CENTRO CUSTO - "&amp;C30&amp;"|"&amp;I30&amp;"|"&amp;G30&amp;"|"&amp;#REF!&amp;"|"&amp;J30&amp;"|"&amp;H30&amp;"|"&amp;K30&amp;"|"&amp;L30&amp;"|"</f>
        <v>#REF!</v>
      </c>
      <c r="O30" s="1" t="str">
        <f t="shared" si="4"/>
        <v>31201005</v>
      </c>
    </row>
    <row r="31" spans="1:15" x14ac:dyDescent="0.3">
      <c r="A31" s="47">
        <v>101</v>
      </c>
      <c r="B31" s="66" t="s">
        <v>12</v>
      </c>
      <c r="C31" s="67" t="s">
        <v>350</v>
      </c>
      <c r="D31" s="68"/>
      <c r="E31" s="66" t="s">
        <v>12</v>
      </c>
      <c r="F31" s="48">
        <v>1324.85</v>
      </c>
      <c r="G31" s="49"/>
      <c r="H31" s="49"/>
      <c r="I31" s="49"/>
      <c r="J31" s="49"/>
      <c r="K31" s="49" t="str">
        <f t="shared" si="0"/>
        <v>|PAGTO DOC - UNIMED ITUVERAVA|PLANO DE SAUDE - UNIMED ITUVERAVA|C CUSTO - 31111|TOTAL: 1324,85|</v>
      </c>
      <c r="L31" s="49"/>
      <c r="M31" s="50">
        <f t="shared" si="3"/>
        <v>1324.85</v>
      </c>
      <c r="N31" s="1" t="e">
        <f>"|"&amp;"PAGTO DOC - "&amp;F31&amp;"|"&amp;"DESP - "&amp;B31&amp;"|"&amp;"CENTRO CUSTO - "&amp;C31&amp;"|"&amp;I31&amp;"|"&amp;G31&amp;"|"&amp;#REF!&amp;"|"&amp;J31&amp;"|"&amp;H31&amp;"|"&amp;K31&amp;"|"&amp;L31&amp;"|"</f>
        <v>#REF!</v>
      </c>
      <c r="O31" s="1" t="str">
        <f t="shared" si="4"/>
        <v>31201005</v>
      </c>
    </row>
    <row r="32" spans="1:15" x14ac:dyDescent="0.3">
      <c r="A32" s="47">
        <v>101</v>
      </c>
      <c r="B32" s="66" t="s">
        <v>12</v>
      </c>
      <c r="C32" s="67" t="s">
        <v>351</v>
      </c>
      <c r="D32" s="68"/>
      <c r="E32" s="66" t="s">
        <v>12</v>
      </c>
      <c r="F32" s="48">
        <v>2646.44</v>
      </c>
      <c r="G32" s="49"/>
      <c r="H32" s="49"/>
      <c r="I32" s="49"/>
      <c r="J32" s="49"/>
      <c r="K32" s="49" t="str">
        <f t="shared" si="0"/>
        <v>|PAGTO DOC - UNIMED ITUVERAVA|PLANO DE SAUDE - UNIMED ITUVERAVA|C CUSTO - 31112|TOTAL: 2646,44|</v>
      </c>
      <c r="L32" s="49"/>
      <c r="M32" s="50">
        <f t="shared" si="3"/>
        <v>2646.44</v>
      </c>
      <c r="N32" s="1" t="e">
        <f>"|"&amp;"PAGTO DOC - "&amp;F32&amp;"|"&amp;"DESP - "&amp;B32&amp;"|"&amp;"CENTRO CUSTO - "&amp;C32&amp;"|"&amp;I32&amp;"|"&amp;G32&amp;"|"&amp;#REF!&amp;"|"&amp;J32&amp;"|"&amp;H32&amp;"|"&amp;K32&amp;"|"&amp;L32&amp;"|"</f>
        <v>#REF!</v>
      </c>
      <c r="O32" s="1" t="str">
        <f t="shared" si="4"/>
        <v>31201005</v>
      </c>
    </row>
    <row r="33" spans="1:15" x14ac:dyDescent="0.3">
      <c r="A33" s="47">
        <v>101</v>
      </c>
      <c r="B33" s="66" t="s">
        <v>12</v>
      </c>
      <c r="C33" s="67" t="s">
        <v>352</v>
      </c>
      <c r="D33" s="68"/>
      <c r="E33" s="66" t="s">
        <v>12</v>
      </c>
      <c r="F33" s="48">
        <v>7674.2400000000016</v>
      </c>
      <c r="G33" s="49"/>
      <c r="H33" s="49"/>
      <c r="I33" s="49"/>
      <c r="J33" s="49"/>
      <c r="K33" s="49" t="str">
        <f t="shared" si="0"/>
        <v>|PAGTO DOC - UNIMED ITUVERAVA|PLANO DE SAUDE - UNIMED ITUVERAVA|C CUSTO - 31114|TOTAL: 7674,24|</v>
      </c>
      <c r="L33" s="49"/>
      <c r="M33" s="50">
        <f t="shared" si="3"/>
        <v>7674.2400000000016</v>
      </c>
      <c r="N33" s="1" t="e">
        <f>"|"&amp;"PAGTO DOC - "&amp;F33&amp;"|"&amp;"DESP - "&amp;B33&amp;"|"&amp;"CENTRO CUSTO - "&amp;C33&amp;"|"&amp;I33&amp;"|"&amp;G33&amp;"|"&amp;#REF!&amp;"|"&amp;J33&amp;"|"&amp;H33&amp;"|"&amp;K33&amp;"|"&amp;L33&amp;"|"</f>
        <v>#REF!</v>
      </c>
      <c r="O33" s="1" t="str">
        <f t="shared" si="4"/>
        <v>31201005</v>
      </c>
    </row>
    <row r="34" spans="1:15" x14ac:dyDescent="0.3">
      <c r="A34" s="47">
        <v>101</v>
      </c>
      <c r="B34" s="66" t="s">
        <v>12</v>
      </c>
      <c r="C34" s="67" t="s">
        <v>406</v>
      </c>
      <c r="D34" s="68"/>
      <c r="E34" s="66" t="s">
        <v>12</v>
      </c>
      <c r="F34" s="48">
        <v>776.26</v>
      </c>
      <c r="G34" s="49"/>
      <c r="H34" s="49"/>
      <c r="I34" s="49"/>
      <c r="J34" s="49"/>
      <c r="K34" s="49" t="str">
        <f t="shared" si="0"/>
        <v>|PAGTO DOC - UNIMED ITUVERAVA|PLANO DE SAUDE - UNIMED ITUVERAVA|C CUSTO - 31115|TOTAL: 776,26|</v>
      </c>
      <c r="L34" s="49"/>
      <c r="M34" s="50">
        <f t="shared" si="3"/>
        <v>776.26</v>
      </c>
      <c r="N34" s="1" t="e">
        <f>"|"&amp;"PAGTO DOC - "&amp;F34&amp;"|"&amp;"DESP - "&amp;B34&amp;"|"&amp;"CENTRO CUSTO - "&amp;C34&amp;"|"&amp;I34&amp;"|"&amp;G34&amp;"|"&amp;#REF!&amp;"|"&amp;J34&amp;"|"&amp;H34&amp;"|"&amp;K34&amp;"|"&amp;L34&amp;"|"</f>
        <v>#REF!</v>
      </c>
      <c r="O34" s="1" t="str">
        <f t="shared" si="4"/>
        <v>31201005</v>
      </c>
    </row>
    <row r="35" spans="1:15" x14ac:dyDescent="0.3">
      <c r="A35" s="47">
        <v>101</v>
      </c>
      <c r="B35" s="66" t="s">
        <v>12</v>
      </c>
      <c r="C35" s="67" t="s">
        <v>353</v>
      </c>
      <c r="D35" s="68"/>
      <c r="E35" s="66" t="s">
        <v>12</v>
      </c>
      <c r="F35" s="48">
        <v>2099.48</v>
      </c>
      <c r="G35" s="49"/>
      <c r="H35" s="49"/>
      <c r="I35" s="49"/>
      <c r="J35" s="49"/>
      <c r="K35" s="49" t="str">
        <f t="shared" si="0"/>
        <v>|PAGTO DOC - UNIMED ITUVERAVA|PLANO DE SAUDE - UNIMED ITUVERAVA|C CUSTO - 31116|TOTAL: 2099,48|</v>
      </c>
      <c r="L35" s="49"/>
      <c r="M35" s="50">
        <f t="shared" si="3"/>
        <v>2099.48</v>
      </c>
      <c r="N35" s="1" t="e">
        <f>"|"&amp;"PAGTO DOC - "&amp;F35&amp;"|"&amp;"DESP - "&amp;B35&amp;"|"&amp;"CENTRO CUSTO - "&amp;C35&amp;"|"&amp;I35&amp;"|"&amp;G35&amp;"|"&amp;#REF!&amp;"|"&amp;J35&amp;"|"&amp;H35&amp;"|"&amp;K35&amp;"|"&amp;L35&amp;"|"</f>
        <v>#REF!</v>
      </c>
      <c r="O35" s="1" t="str">
        <f t="shared" si="4"/>
        <v>31201005</v>
      </c>
    </row>
    <row r="36" spans="1:15" x14ac:dyDescent="0.3">
      <c r="A36" s="47">
        <v>101</v>
      </c>
      <c r="B36" s="66" t="s">
        <v>12</v>
      </c>
      <c r="C36" s="67" t="s">
        <v>354</v>
      </c>
      <c r="D36" s="68"/>
      <c r="E36" s="66" t="s">
        <v>12</v>
      </c>
      <c r="F36" s="48">
        <v>2558.08</v>
      </c>
      <c r="G36" s="49"/>
      <c r="H36" s="49"/>
      <c r="I36" s="49"/>
      <c r="J36" s="49"/>
      <c r="K36" s="49" t="str">
        <f t="shared" si="0"/>
        <v>|PAGTO DOC - UNIMED ITUVERAVA|PLANO DE SAUDE - UNIMED ITUVERAVA|C CUSTO - 31200|TOTAL: 2558,08|</v>
      </c>
      <c r="L36" s="49"/>
      <c r="M36" s="50">
        <f t="shared" si="3"/>
        <v>2558.08</v>
      </c>
      <c r="N36" s="1" t="e">
        <f>"|"&amp;"PAGTO DOC - "&amp;F36&amp;"|"&amp;"DESP - "&amp;B36&amp;"|"&amp;"CENTRO CUSTO - "&amp;C36&amp;"|"&amp;I36&amp;"|"&amp;G36&amp;"|"&amp;#REF!&amp;"|"&amp;J36&amp;"|"&amp;H36&amp;"|"&amp;K36&amp;"|"&amp;L36&amp;"|"</f>
        <v>#REF!</v>
      </c>
      <c r="O36" s="1" t="str">
        <f t="shared" si="4"/>
        <v>31201005</v>
      </c>
    </row>
    <row r="37" spans="1:15" x14ac:dyDescent="0.3">
      <c r="A37" s="47">
        <v>101</v>
      </c>
      <c r="B37" s="66" t="s">
        <v>12</v>
      </c>
      <c r="C37" s="67" t="s">
        <v>407</v>
      </c>
      <c r="D37" s="68"/>
      <c r="E37" s="66" t="s">
        <v>12</v>
      </c>
      <c r="F37" s="48">
        <v>1323.22</v>
      </c>
      <c r="G37" s="49"/>
      <c r="H37" s="49"/>
      <c r="I37" s="49"/>
      <c r="J37" s="49"/>
      <c r="K37" s="49" t="str">
        <f t="shared" si="0"/>
        <v>|PAGTO DOC - UNIMED ITUVERAVA|PLANO DE SAUDE - UNIMED ITUVERAVA|C CUSTO - 31300|TOTAL: 1323,22|</v>
      </c>
      <c r="L37" s="49"/>
      <c r="M37" s="50">
        <f t="shared" si="3"/>
        <v>1323.22</v>
      </c>
      <c r="N37" s="1" t="e">
        <f>"|"&amp;"PAGTO DOC - "&amp;F37&amp;"|"&amp;"DESP - "&amp;B37&amp;"|"&amp;"CENTRO CUSTO - "&amp;C37&amp;"|"&amp;I37&amp;"|"&amp;G37&amp;"|"&amp;#REF!&amp;"|"&amp;J37&amp;"|"&amp;H37&amp;"|"&amp;K37&amp;"|"&amp;L37&amp;"|"</f>
        <v>#REF!</v>
      </c>
      <c r="O37" s="1" t="str">
        <f t="shared" si="4"/>
        <v>31201005</v>
      </c>
    </row>
    <row r="38" spans="1:15" x14ac:dyDescent="0.3">
      <c r="A38" s="47">
        <v>101</v>
      </c>
      <c r="B38" s="66" t="s">
        <v>12</v>
      </c>
      <c r="C38" s="67" t="s">
        <v>355</v>
      </c>
      <c r="D38" s="68"/>
      <c r="E38" s="66" t="s">
        <v>12</v>
      </c>
      <c r="F38" s="48">
        <v>7916.0300000000007</v>
      </c>
      <c r="G38" s="49"/>
      <c r="H38" s="49"/>
      <c r="I38" s="49"/>
      <c r="J38" s="49"/>
      <c r="K38" s="49" t="str">
        <f t="shared" si="0"/>
        <v>|PAGTO DOC - UNIMED ITUVERAVA|PLANO DE SAUDE - UNIMED ITUVERAVA|C CUSTO - 33010|TOTAL: 7916,03|</v>
      </c>
      <c r="L38" s="49"/>
      <c r="M38" s="50">
        <f t="shared" si="3"/>
        <v>7916.0300000000007</v>
      </c>
      <c r="N38" s="1" t="e">
        <f>"|"&amp;"PAGTO DOC - "&amp;F38&amp;"|"&amp;"DESP - "&amp;B38&amp;"|"&amp;"CENTRO CUSTO - "&amp;C38&amp;"|"&amp;I38&amp;"|"&amp;G38&amp;"|"&amp;#REF!&amp;"|"&amp;J38&amp;"|"&amp;H38&amp;"|"&amp;K38&amp;"|"&amp;L38&amp;"|"</f>
        <v>#REF!</v>
      </c>
      <c r="O38" s="1" t="str">
        <f t="shared" si="4"/>
        <v>31201005</v>
      </c>
    </row>
    <row r="39" spans="1:15" x14ac:dyDescent="0.3">
      <c r="A39" s="47">
        <v>101</v>
      </c>
      <c r="B39" s="66" t="s">
        <v>12</v>
      </c>
      <c r="C39" s="67" t="s">
        <v>408</v>
      </c>
      <c r="D39" s="68"/>
      <c r="E39" s="66" t="s">
        <v>12</v>
      </c>
      <c r="F39" s="48">
        <v>1323.22</v>
      </c>
      <c r="G39" s="49"/>
      <c r="H39" s="49"/>
      <c r="I39" s="49"/>
      <c r="J39" s="49"/>
      <c r="K39" s="49" t="str">
        <f t="shared" si="0"/>
        <v>|PAGTO DOC - UNIMED ITUVERAVA|PLANO DE SAUDE - UNIMED ITUVERAVA|C CUSTO - 33040|TOTAL: 1323,22|</v>
      </c>
      <c r="L39" s="49"/>
      <c r="M39" s="50">
        <f t="shared" si="3"/>
        <v>1323.22</v>
      </c>
      <c r="N39" s="1" t="e">
        <f>"|"&amp;"PAGTO DOC - "&amp;F39&amp;"|"&amp;"DESP - "&amp;B39&amp;"|"&amp;"CENTRO CUSTO - "&amp;C39&amp;"|"&amp;I39&amp;"|"&amp;G39&amp;"|"&amp;#REF!&amp;"|"&amp;J39&amp;"|"&amp;H39&amp;"|"&amp;K39&amp;"|"&amp;L39&amp;"|"</f>
        <v>#REF!</v>
      </c>
      <c r="O39" s="1" t="str">
        <f t="shared" si="4"/>
        <v>31201005</v>
      </c>
    </row>
    <row r="40" spans="1:15" x14ac:dyDescent="0.3">
      <c r="A40" s="47">
        <v>101</v>
      </c>
      <c r="B40" s="66" t="s">
        <v>12</v>
      </c>
      <c r="C40" s="67" t="s">
        <v>356</v>
      </c>
      <c r="D40" s="68"/>
      <c r="E40" s="66" t="s">
        <v>12</v>
      </c>
      <c r="F40" s="48">
        <v>3740.3600000000006</v>
      </c>
      <c r="G40" s="49"/>
      <c r="H40" s="49"/>
      <c r="I40" s="49"/>
      <c r="J40" s="49"/>
      <c r="K40" s="49" t="str">
        <f t="shared" si="0"/>
        <v>|PAGTO DOC - UNIMED ITUVERAVA|PLANO DE SAUDE - UNIMED ITUVERAVA|C CUSTO - 33050|TOTAL: 3740,36|</v>
      </c>
      <c r="L40" s="49"/>
      <c r="M40" s="50">
        <f t="shared" si="3"/>
        <v>3740.3600000000006</v>
      </c>
      <c r="N40" s="1" t="e">
        <f>"|"&amp;"PAGTO DOC - "&amp;F40&amp;"|"&amp;"DESP - "&amp;B40&amp;"|"&amp;"CENTRO CUSTO - "&amp;C40&amp;"|"&amp;I40&amp;"|"&amp;G40&amp;"|"&amp;#REF!&amp;"|"&amp;J40&amp;"|"&amp;H40&amp;"|"&amp;K40&amp;"|"&amp;L40&amp;"|"</f>
        <v>#REF!</v>
      </c>
      <c r="O40" s="1" t="str">
        <f t="shared" si="4"/>
        <v>31201005</v>
      </c>
    </row>
    <row r="41" spans="1:15" x14ac:dyDescent="0.3">
      <c r="A41" s="47">
        <v>101</v>
      </c>
      <c r="B41" s="66" t="s">
        <v>12</v>
      </c>
      <c r="C41" s="67" t="s">
        <v>357</v>
      </c>
      <c r="D41" s="68"/>
      <c r="E41" s="66" t="s">
        <v>12</v>
      </c>
      <c r="F41" s="48">
        <v>4287.32</v>
      </c>
      <c r="G41" s="49"/>
      <c r="H41" s="49"/>
      <c r="I41" s="49"/>
      <c r="J41" s="49"/>
      <c r="K41" s="49" t="str">
        <f t="shared" si="0"/>
        <v>|PAGTO DOC - UNIMED ITUVERAVA|PLANO DE SAUDE - UNIMED ITUVERAVA|C CUSTO - 33060|TOTAL: 4287,32|</v>
      </c>
      <c r="L41" s="49"/>
      <c r="M41" s="50">
        <f t="shared" si="3"/>
        <v>4287.32</v>
      </c>
      <c r="N41" s="1" t="e">
        <f>"|"&amp;"PAGTO DOC - "&amp;F41&amp;"|"&amp;"DESP - "&amp;B41&amp;"|"&amp;"CENTRO CUSTO - "&amp;C41&amp;"|"&amp;I41&amp;"|"&amp;G41&amp;"|"&amp;#REF!&amp;"|"&amp;J41&amp;"|"&amp;H41&amp;"|"&amp;K41&amp;"|"&amp;L41&amp;"|"</f>
        <v>#REF!</v>
      </c>
      <c r="O41" s="1" t="str">
        <f t="shared" si="4"/>
        <v>31201005</v>
      </c>
    </row>
    <row r="42" spans="1:15" x14ac:dyDescent="0.3">
      <c r="A42" s="47">
        <v>101</v>
      </c>
      <c r="B42" s="66" t="s">
        <v>12</v>
      </c>
      <c r="C42" s="67" t="s">
        <v>409</v>
      </c>
      <c r="D42" s="68"/>
      <c r="E42" s="66" t="s">
        <v>12</v>
      </c>
      <c r="F42" s="48">
        <v>546.96</v>
      </c>
      <c r="G42" s="49"/>
      <c r="H42" s="49"/>
      <c r="I42" s="49"/>
      <c r="J42" s="49"/>
      <c r="K42" s="49" t="str">
        <f t="shared" si="0"/>
        <v>|PAGTO DOC - UNIMED ITUVERAVA|PLANO DE SAUDE - UNIMED ITUVERAVA|C CUSTO - 55030|TOTAL: 546,96|</v>
      </c>
      <c r="L42" s="49"/>
      <c r="M42" s="50">
        <f t="shared" si="3"/>
        <v>546.96</v>
      </c>
      <c r="N42" s="1" t="e">
        <f>"|"&amp;"PAGTO DOC - "&amp;F42&amp;"|"&amp;"DESP - "&amp;B42&amp;"|"&amp;"CENTRO CUSTO - "&amp;C42&amp;"|"&amp;I42&amp;"|"&amp;G42&amp;"|"&amp;#REF!&amp;"|"&amp;J42&amp;"|"&amp;H42&amp;"|"&amp;K42&amp;"|"&amp;L42&amp;"|"</f>
        <v>#REF!</v>
      </c>
      <c r="O42" s="1" t="str">
        <f t="shared" si="4"/>
        <v>31201005</v>
      </c>
    </row>
    <row r="43" spans="1:15" x14ac:dyDescent="0.3">
      <c r="A43" s="47">
        <v>101</v>
      </c>
      <c r="B43" s="66" t="s">
        <v>12</v>
      </c>
      <c r="C43" s="67">
        <v>21012</v>
      </c>
      <c r="D43" s="68"/>
      <c r="E43" s="66" t="s">
        <v>12</v>
      </c>
      <c r="F43" s="48">
        <v>229.3</v>
      </c>
      <c r="G43" s="49"/>
      <c r="H43" s="49"/>
      <c r="I43" s="49"/>
      <c r="J43" s="49"/>
      <c r="K43" s="49" t="str">
        <f t="shared" si="0"/>
        <v>|PAGTO DOC - UNIMED ITUVERAVA|PLANO DE SAUDE - UNIMED ITUVERAVA|C CUSTO - 21012|TOTAL: 229,3|</v>
      </c>
      <c r="L43" s="49"/>
      <c r="M43" s="50">
        <f t="shared" si="3"/>
        <v>229.3</v>
      </c>
      <c r="N43" s="1" t="e">
        <f>"|"&amp;"PAGTO DOC - "&amp;F43&amp;"|"&amp;"DESP - "&amp;B43&amp;"|"&amp;"CENTRO CUSTO - "&amp;C43&amp;"|"&amp;I43&amp;"|"&amp;G43&amp;"|"&amp;#REF!&amp;"|"&amp;J43&amp;"|"&amp;H43&amp;"|"&amp;K43&amp;"|"&amp;L43&amp;"|"</f>
        <v>#REF!</v>
      </c>
      <c r="O43" s="1" t="str">
        <f t="shared" si="4"/>
        <v>31201005</v>
      </c>
    </row>
    <row r="44" spans="1:15" x14ac:dyDescent="0.3">
      <c r="A44" s="47">
        <v>101</v>
      </c>
      <c r="B44" s="66" t="s">
        <v>12</v>
      </c>
      <c r="C44" s="67">
        <v>31090</v>
      </c>
      <c r="D44" s="68"/>
      <c r="E44" s="66" t="s">
        <v>12</v>
      </c>
      <c r="F44" s="48">
        <v>546.96</v>
      </c>
      <c r="G44" s="49"/>
      <c r="H44" s="49"/>
      <c r="I44" s="49"/>
      <c r="J44" s="49"/>
      <c r="K44" s="49" t="str">
        <f t="shared" si="0"/>
        <v>|PAGTO DOC - UNIMED ITUVERAVA|PLANO DE SAUDE - UNIMED ITUVERAVA|C CUSTO - 31090|TOTAL: 546,96|</v>
      </c>
      <c r="L44" s="49"/>
      <c r="M44" s="50">
        <f t="shared" si="3"/>
        <v>546.96</v>
      </c>
      <c r="N44" s="1" t="e">
        <f>"|"&amp;"PAGTO DOC - "&amp;F44&amp;"|"&amp;"DESP - "&amp;B44&amp;"|"&amp;"CENTRO CUSTO - "&amp;C44&amp;"|"&amp;I44&amp;"|"&amp;G44&amp;"|"&amp;#REF!&amp;"|"&amp;J44&amp;"|"&amp;H44&amp;"|"&amp;K44&amp;"|"&amp;L44&amp;"|"</f>
        <v>#REF!</v>
      </c>
      <c r="O44" s="1" t="str">
        <f t="shared" si="4"/>
        <v>31201005</v>
      </c>
    </row>
    <row r="45" spans="1:15" x14ac:dyDescent="0.3">
      <c r="A45" s="47">
        <v>101</v>
      </c>
      <c r="B45" s="66" t="s">
        <v>12</v>
      </c>
      <c r="C45" s="67">
        <v>13016</v>
      </c>
      <c r="D45" s="68"/>
      <c r="E45" s="66" t="s">
        <v>12</v>
      </c>
      <c r="F45" s="48">
        <v>229.3</v>
      </c>
      <c r="G45" s="49"/>
      <c r="H45" s="49"/>
      <c r="I45" s="49"/>
      <c r="J45" s="49"/>
      <c r="K45" s="49" t="str">
        <f t="shared" si="0"/>
        <v>|PAGTO DOC - UNIMED ITUVERAVA|PLANO DE SAUDE - UNIMED ITUVERAVA|C CUSTO - 13016|TOTAL: 229,3|</v>
      </c>
      <c r="L45" s="49"/>
      <c r="M45" s="50">
        <f t="shared" si="3"/>
        <v>229.3</v>
      </c>
      <c r="N45" s="1" t="e">
        <f>"|"&amp;"PAGTO DOC - "&amp;F45&amp;"|"&amp;"DESP - "&amp;B45&amp;"|"&amp;"CENTRO CUSTO - "&amp;C45&amp;"|"&amp;I45&amp;"|"&amp;G45&amp;"|"&amp;#REF!&amp;"|"&amp;J45&amp;"|"&amp;H45&amp;"|"&amp;K45&amp;"|"&amp;L45&amp;"|"</f>
        <v>#REF!</v>
      </c>
      <c r="O45" s="1" t="str">
        <f t="shared" si="4"/>
        <v>31201005</v>
      </c>
    </row>
    <row r="46" spans="1:15" x14ac:dyDescent="0.3">
      <c r="A46" s="47">
        <v>101</v>
      </c>
      <c r="B46" s="66" t="s">
        <v>12</v>
      </c>
      <c r="C46" s="67">
        <v>33050</v>
      </c>
      <c r="D46" s="68"/>
      <c r="E46" s="66" t="s">
        <v>12</v>
      </c>
      <c r="F46" s="48">
        <v>546.96</v>
      </c>
      <c r="G46" s="49"/>
      <c r="H46" s="49"/>
      <c r="I46" s="49"/>
      <c r="J46" s="49"/>
      <c r="K46" s="49" t="str">
        <f t="shared" si="0"/>
        <v>|PAGTO DOC - UNIMED ITUVERAVA|PLANO DE SAUDE - UNIMED ITUVERAVA|C CUSTO - 33050|TOTAL: 546,96|</v>
      </c>
      <c r="L46" s="49"/>
      <c r="M46" s="50">
        <f t="shared" si="3"/>
        <v>546.96</v>
      </c>
      <c r="N46" s="1" t="e">
        <f>"|"&amp;"PAGTO DOC - "&amp;F46&amp;"|"&amp;"DESP - "&amp;B46&amp;"|"&amp;"CENTRO CUSTO - "&amp;C46&amp;"|"&amp;I46&amp;"|"&amp;G46&amp;"|"&amp;#REF!&amp;"|"&amp;J46&amp;"|"&amp;H46&amp;"|"&amp;K46&amp;"|"&amp;L46&amp;"|"</f>
        <v>#REF!</v>
      </c>
      <c r="O46" s="1" t="str">
        <f t="shared" si="4"/>
        <v>31201005</v>
      </c>
    </row>
    <row r="47" spans="1:15" x14ac:dyDescent="0.3">
      <c r="A47">
        <v>101</v>
      </c>
      <c r="B47" s="66" t="s">
        <v>12</v>
      </c>
      <c r="C47" s="67">
        <v>21011</v>
      </c>
      <c r="D47" s="68"/>
      <c r="E47" s="66" t="s">
        <v>12</v>
      </c>
      <c r="F47" s="48">
        <v>229.3</v>
      </c>
      <c r="G47" s="49"/>
      <c r="H47" s="49"/>
      <c r="I47" s="49"/>
      <c r="J47" s="49"/>
      <c r="K47" s="49" t="str">
        <f t="shared" si="0"/>
        <v>|PAGTO DOC - UNIMED ITUVERAVA|PLANO DE SAUDE - UNIMED ITUVERAVA|C CUSTO - 21011|TOTAL: 229,3|</v>
      </c>
      <c r="L47" s="49"/>
      <c r="M47" s="50">
        <f t="shared" si="3"/>
        <v>229.3</v>
      </c>
      <c r="N47" s="1" t="e">
        <f>"|"&amp;"PAGTO DOC - "&amp;F47&amp;"|"&amp;"DESP - "&amp;B47&amp;"|"&amp;"CENTRO CUSTO - "&amp;C47&amp;"|"&amp;I47&amp;"|"&amp;G47&amp;"|"&amp;#REF!&amp;"|"&amp;J47&amp;"|"&amp;H47&amp;"|"&amp;K47&amp;"|"&amp;L47&amp;"|"</f>
        <v>#REF!</v>
      </c>
      <c r="O47" s="1" t="str">
        <f t="shared" si="4"/>
        <v>31201005</v>
      </c>
    </row>
    <row r="48" spans="1:15" x14ac:dyDescent="0.3">
      <c r="A48">
        <v>101</v>
      </c>
      <c r="B48" s="66" t="s">
        <v>13</v>
      </c>
      <c r="C48" s="67">
        <v>11011</v>
      </c>
      <c r="D48" s="68"/>
      <c r="E48" s="66" t="s">
        <v>13</v>
      </c>
      <c r="F48" s="51">
        <v>74.150000000000006</v>
      </c>
      <c r="G48" s="49"/>
      <c r="H48" s="49"/>
      <c r="I48" s="49"/>
      <c r="J48" s="49"/>
      <c r="K48" s="49" t="str">
        <f t="shared" si="0"/>
        <v>|PAGTO DOC - SEGURO DE VIDA EM GRUPO|PLANO DE SAUDE - SEGURO DE VIDA EM GRUPO|C CUSTO - 11011|TOTAL: 74,15|</v>
      </c>
      <c r="L48" s="49"/>
      <c r="M48" s="50">
        <f t="shared" si="3"/>
        <v>74.150000000000006</v>
      </c>
      <c r="N48" s="1" t="e">
        <f>"|"&amp;"PAGTO DOC - "&amp;F48&amp;"|"&amp;"DESP - "&amp;B48&amp;"|"&amp;"CENTRO CUSTO - "&amp;C48&amp;"|"&amp;I48&amp;"|"&amp;G48&amp;"|"&amp;#REF!&amp;"|"&amp;J48&amp;"|"&amp;H48&amp;"|"&amp;K48&amp;"|"&amp;L48&amp;"|"</f>
        <v>#REF!</v>
      </c>
      <c r="O48" s="1" t="str">
        <f t="shared" si="4"/>
        <v>31201003</v>
      </c>
    </row>
    <row r="49" spans="1:15" x14ac:dyDescent="0.3">
      <c r="A49">
        <v>101</v>
      </c>
      <c r="B49" s="66" t="s">
        <v>13</v>
      </c>
      <c r="C49" s="67">
        <v>13013</v>
      </c>
      <c r="D49" s="68"/>
      <c r="E49" s="66" t="s">
        <v>13</v>
      </c>
      <c r="F49" s="51">
        <v>8.0399999999999991</v>
      </c>
      <c r="G49" s="49"/>
      <c r="H49" s="49"/>
      <c r="I49" s="49"/>
      <c r="J49" s="49"/>
      <c r="K49" s="49" t="str">
        <f t="shared" si="0"/>
        <v>|PAGTO DOC - SEGURO DE VIDA EM GRUPO|PLANO DE SAUDE - SEGURO DE VIDA EM GRUPO|C CUSTO - 13013|TOTAL: 8,04|</v>
      </c>
      <c r="L49" s="49"/>
      <c r="M49" s="50">
        <f t="shared" si="3"/>
        <v>8.0399999999999991</v>
      </c>
      <c r="N49" s="1" t="e">
        <f>"|"&amp;"PAGTO DOC - "&amp;F49&amp;"|"&amp;"DESP - "&amp;B49&amp;"|"&amp;"CENTRO CUSTO - "&amp;C49&amp;"|"&amp;I49&amp;"|"&amp;G49&amp;"|"&amp;#REF!&amp;"|"&amp;J49&amp;"|"&amp;H49&amp;"|"&amp;K49&amp;"|"&amp;L49&amp;"|"</f>
        <v>#REF!</v>
      </c>
      <c r="O49" s="1" t="str">
        <f t="shared" si="4"/>
        <v>31201003</v>
      </c>
    </row>
    <row r="50" spans="1:15" x14ac:dyDescent="0.3">
      <c r="A50">
        <v>101</v>
      </c>
      <c r="B50" s="66" t="s">
        <v>13</v>
      </c>
      <c r="C50" s="67">
        <v>13014</v>
      </c>
      <c r="D50" s="68"/>
      <c r="E50" s="66" t="s">
        <v>13</v>
      </c>
      <c r="F50" s="51">
        <v>74.150000000000006</v>
      </c>
      <c r="G50" s="49"/>
      <c r="H50" s="49"/>
      <c r="I50" s="49"/>
      <c r="J50" s="49"/>
      <c r="K50" s="49" t="str">
        <f t="shared" si="0"/>
        <v>|PAGTO DOC - SEGURO DE VIDA EM GRUPO|PLANO DE SAUDE - SEGURO DE VIDA EM GRUPO|C CUSTO - 13014|TOTAL: 74,15|</v>
      </c>
      <c r="L50" s="49"/>
      <c r="M50" s="50">
        <f t="shared" si="3"/>
        <v>74.150000000000006</v>
      </c>
      <c r="N50" s="1" t="e">
        <f>"|"&amp;"PAGTO DOC - "&amp;F50&amp;"|"&amp;"DESP - "&amp;B50&amp;"|"&amp;"CENTRO CUSTO - "&amp;C50&amp;"|"&amp;I50&amp;"|"&amp;G50&amp;"|"&amp;#REF!&amp;"|"&amp;J50&amp;"|"&amp;H50&amp;"|"&amp;K50&amp;"|"&amp;L50&amp;"|"</f>
        <v>#REF!</v>
      </c>
      <c r="O50" s="1" t="str">
        <f t="shared" si="4"/>
        <v>31201003</v>
      </c>
    </row>
    <row r="51" spans="1:15" x14ac:dyDescent="0.3">
      <c r="A51">
        <v>101</v>
      </c>
      <c r="B51" s="66" t="s">
        <v>13</v>
      </c>
      <c r="C51" s="67">
        <v>14050</v>
      </c>
      <c r="D51" s="68"/>
      <c r="E51" s="66" t="s">
        <v>13</v>
      </c>
      <c r="F51" s="51">
        <v>72.359999999999985</v>
      </c>
      <c r="G51" s="49"/>
      <c r="H51" s="49"/>
      <c r="I51" s="49"/>
      <c r="J51" s="49"/>
      <c r="K51" s="49" t="str">
        <f t="shared" si="0"/>
        <v>|PAGTO DOC - SEGURO DE VIDA EM GRUPO|PLANO DE SAUDE - SEGURO DE VIDA EM GRUPO|C CUSTO - 14050|TOTAL: 72,36|</v>
      </c>
      <c r="L51" s="49"/>
      <c r="M51" s="50">
        <f t="shared" si="3"/>
        <v>72.359999999999985</v>
      </c>
      <c r="N51" s="1" t="e">
        <f>"|"&amp;"PAGTO DOC - "&amp;F51&amp;"|"&amp;"DESP - "&amp;B51&amp;"|"&amp;"CENTRO CUSTO - "&amp;C51&amp;"|"&amp;I51&amp;"|"&amp;G51&amp;"|"&amp;#REF!&amp;"|"&amp;J51&amp;"|"&amp;H51&amp;"|"&amp;K51&amp;"|"&amp;L51&amp;"|"</f>
        <v>#REF!</v>
      </c>
      <c r="O51" s="1" t="str">
        <f t="shared" si="4"/>
        <v>31201003</v>
      </c>
    </row>
    <row r="52" spans="1:15" x14ac:dyDescent="0.3">
      <c r="A52">
        <v>101</v>
      </c>
      <c r="B52" s="66" t="s">
        <v>13</v>
      </c>
      <c r="C52" s="67">
        <v>14051</v>
      </c>
      <c r="D52" s="68"/>
      <c r="E52" s="66" t="s">
        <v>13</v>
      </c>
      <c r="F52" s="51">
        <v>200.99999999999986</v>
      </c>
      <c r="G52" s="49"/>
      <c r="H52" s="49"/>
      <c r="I52" s="49"/>
      <c r="J52" s="49"/>
      <c r="K52" s="49" t="str">
        <f t="shared" si="0"/>
        <v>|PAGTO DOC - SEGURO DE VIDA EM GRUPO|PLANO DE SAUDE - SEGURO DE VIDA EM GRUPO|C CUSTO - 14051|TOTAL: 201|</v>
      </c>
      <c r="L52" s="49"/>
      <c r="M52" s="50">
        <f t="shared" si="3"/>
        <v>200.99999999999986</v>
      </c>
      <c r="N52" s="1" t="e">
        <f>"|"&amp;"PAGTO DOC - "&amp;F52&amp;"|"&amp;"DESP - "&amp;B52&amp;"|"&amp;"CENTRO CUSTO - "&amp;C52&amp;"|"&amp;I52&amp;"|"&amp;G52&amp;"|"&amp;#REF!&amp;"|"&amp;J52&amp;"|"&amp;H52&amp;"|"&amp;K52&amp;"|"&amp;L52&amp;"|"</f>
        <v>#REF!</v>
      </c>
      <c r="O52" s="1" t="str">
        <f t="shared" si="4"/>
        <v>31201003</v>
      </c>
    </row>
    <row r="53" spans="1:15" x14ac:dyDescent="0.3">
      <c r="A53">
        <v>101</v>
      </c>
      <c r="B53" s="66" t="s">
        <v>13</v>
      </c>
      <c r="C53" s="67">
        <v>14052</v>
      </c>
      <c r="D53" s="68"/>
      <c r="E53" s="66" t="s">
        <v>13</v>
      </c>
      <c r="F53" s="51">
        <v>88.439999999999969</v>
      </c>
      <c r="G53" s="49"/>
      <c r="H53" s="49"/>
      <c r="I53" s="49"/>
      <c r="J53" s="49"/>
      <c r="K53" s="49" t="str">
        <f t="shared" si="0"/>
        <v>|PAGTO DOC - SEGURO DE VIDA EM GRUPO|PLANO DE SAUDE - SEGURO DE VIDA EM GRUPO|C CUSTO - 14052|TOTAL: 88,44|</v>
      </c>
      <c r="L53" s="49"/>
      <c r="M53" s="50">
        <f t="shared" si="3"/>
        <v>88.439999999999969</v>
      </c>
      <c r="N53" s="1" t="e">
        <f>"|"&amp;"PAGTO DOC - "&amp;F53&amp;"|"&amp;"DESP - "&amp;B53&amp;"|"&amp;"CENTRO CUSTO - "&amp;C53&amp;"|"&amp;I53&amp;"|"&amp;G53&amp;"|"&amp;#REF!&amp;"|"&amp;J53&amp;"|"&amp;H53&amp;"|"&amp;K53&amp;"|"&amp;L53&amp;"|"</f>
        <v>#REF!</v>
      </c>
      <c r="O53" s="1" t="str">
        <f t="shared" si="4"/>
        <v>31201003</v>
      </c>
    </row>
    <row r="54" spans="1:15" x14ac:dyDescent="0.3">
      <c r="A54">
        <v>101</v>
      </c>
      <c r="B54" s="66" t="s">
        <v>13</v>
      </c>
      <c r="C54" s="67">
        <v>14054</v>
      </c>
      <c r="D54" s="68"/>
      <c r="E54" s="66" t="s">
        <v>13</v>
      </c>
      <c r="F54" s="51">
        <v>90.23</v>
      </c>
      <c r="G54" s="49"/>
      <c r="H54" s="49"/>
      <c r="I54" s="49"/>
      <c r="J54" s="49"/>
      <c r="K54" s="49" t="str">
        <f t="shared" si="0"/>
        <v>|PAGTO DOC - SEGURO DE VIDA EM GRUPO|PLANO DE SAUDE - SEGURO DE VIDA EM GRUPO|C CUSTO - 14054|TOTAL: 90,23|</v>
      </c>
      <c r="L54" s="49"/>
      <c r="M54" s="50">
        <f t="shared" si="3"/>
        <v>90.23</v>
      </c>
      <c r="N54" s="1" t="e">
        <f>"|"&amp;"PAGTO DOC - "&amp;F54&amp;"|"&amp;"DESP - "&amp;B54&amp;"|"&amp;"CENTRO CUSTO - "&amp;C54&amp;"|"&amp;I54&amp;"|"&amp;G54&amp;"|"&amp;#REF!&amp;"|"&amp;J54&amp;"|"&amp;H54&amp;"|"&amp;K54&amp;"|"&amp;L54&amp;"|"</f>
        <v>#REF!</v>
      </c>
      <c r="O54" s="1" t="str">
        <f t="shared" si="4"/>
        <v>31201003</v>
      </c>
    </row>
    <row r="55" spans="1:15" x14ac:dyDescent="0.3">
      <c r="A55">
        <v>101</v>
      </c>
      <c r="B55" s="66" t="s">
        <v>13</v>
      </c>
      <c r="C55" s="67">
        <v>14056</v>
      </c>
      <c r="D55" s="68"/>
      <c r="E55" s="66" t="s">
        <v>13</v>
      </c>
      <c r="F55" s="51">
        <v>64.319999999999993</v>
      </c>
      <c r="G55" s="49"/>
      <c r="H55" s="49"/>
      <c r="I55" s="49"/>
      <c r="J55" s="49"/>
      <c r="K55" s="49" t="str">
        <f t="shared" si="0"/>
        <v>|PAGTO DOC - SEGURO DE VIDA EM GRUPO|PLANO DE SAUDE - SEGURO DE VIDA EM GRUPO|C CUSTO - 14056|TOTAL: 64,32|</v>
      </c>
      <c r="L55" s="49"/>
      <c r="M55" s="50">
        <f t="shared" si="3"/>
        <v>64.319999999999993</v>
      </c>
      <c r="N55" s="1" t="e">
        <f>"|"&amp;"PAGTO DOC - "&amp;F55&amp;"|"&amp;"DESP - "&amp;B55&amp;"|"&amp;"CENTRO CUSTO - "&amp;C55&amp;"|"&amp;I55&amp;"|"&amp;G55&amp;"|"&amp;#REF!&amp;"|"&amp;J55&amp;"|"&amp;H55&amp;"|"&amp;K55&amp;"|"&amp;L55&amp;"|"</f>
        <v>#REF!</v>
      </c>
      <c r="O55" s="1" t="str">
        <f t="shared" si="4"/>
        <v>31201003</v>
      </c>
    </row>
    <row r="56" spans="1:15" x14ac:dyDescent="0.3">
      <c r="A56">
        <v>101</v>
      </c>
      <c r="B56" s="66" t="s">
        <v>13</v>
      </c>
      <c r="C56" s="67">
        <v>14058</v>
      </c>
      <c r="D56" s="68"/>
      <c r="E56" s="66" t="s">
        <v>13</v>
      </c>
      <c r="F56" s="51">
        <v>209.03999999999985</v>
      </c>
      <c r="G56" s="49"/>
      <c r="H56" s="49"/>
      <c r="I56" s="49"/>
      <c r="J56" s="49"/>
      <c r="K56" s="49" t="str">
        <f t="shared" si="0"/>
        <v>|PAGTO DOC - SEGURO DE VIDA EM GRUPO|PLANO DE SAUDE - SEGURO DE VIDA EM GRUPO|C CUSTO - 14058|TOTAL: 209,04|</v>
      </c>
      <c r="L56" s="49"/>
      <c r="M56" s="50">
        <f t="shared" si="3"/>
        <v>209.03999999999985</v>
      </c>
      <c r="N56" s="1" t="e">
        <f>"|"&amp;"PAGTO DOC - "&amp;F56&amp;"|"&amp;"DESP - "&amp;B56&amp;"|"&amp;"CENTRO CUSTO - "&amp;C56&amp;"|"&amp;I56&amp;"|"&amp;G56&amp;"|"&amp;#REF!&amp;"|"&amp;J56&amp;"|"&amp;H56&amp;"|"&amp;K56&amp;"|"&amp;L56&amp;"|"</f>
        <v>#REF!</v>
      </c>
      <c r="O56" s="1" t="str">
        <f t="shared" si="4"/>
        <v>31201003</v>
      </c>
    </row>
    <row r="57" spans="1:15" x14ac:dyDescent="0.3">
      <c r="A57">
        <v>101</v>
      </c>
      <c r="B57" s="66" t="s">
        <v>13</v>
      </c>
      <c r="C57" s="67">
        <v>14062</v>
      </c>
      <c r="D57" s="68"/>
      <c r="E57" s="66" t="s">
        <v>13</v>
      </c>
      <c r="F57" s="51">
        <v>8.0399999999999991</v>
      </c>
      <c r="G57" s="49"/>
      <c r="H57" s="49"/>
      <c r="I57" s="49"/>
      <c r="J57" s="49"/>
      <c r="K57" s="49" t="str">
        <f t="shared" si="0"/>
        <v>|PAGTO DOC - SEGURO DE VIDA EM GRUPO|PLANO DE SAUDE - SEGURO DE VIDA EM GRUPO|C CUSTO - 14062|TOTAL: 8,04|</v>
      </c>
      <c r="L57" s="49"/>
      <c r="M57" s="50">
        <f t="shared" si="3"/>
        <v>8.0399999999999991</v>
      </c>
      <c r="N57" s="1" t="e">
        <f>"|"&amp;"PAGTO DOC - "&amp;F57&amp;"|"&amp;"DESP - "&amp;B57&amp;"|"&amp;"CENTRO CUSTO - "&amp;C57&amp;"|"&amp;I57&amp;"|"&amp;G57&amp;"|"&amp;#REF!&amp;"|"&amp;J57&amp;"|"&amp;H57&amp;"|"&amp;K57&amp;"|"&amp;L57&amp;"|"</f>
        <v>#REF!</v>
      </c>
      <c r="O57" s="1" t="str">
        <f t="shared" si="4"/>
        <v>31201003</v>
      </c>
    </row>
    <row r="58" spans="1:15" x14ac:dyDescent="0.3">
      <c r="A58">
        <v>101</v>
      </c>
      <c r="B58" s="66" t="s">
        <v>13</v>
      </c>
      <c r="C58" s="67">
        <v>15012</v>
      </c>
      <c r="D58" s="68"/>
      <c r="E58" s="66" t="s">
        <v>13</v>
      </c>
      <c r="F58" s="51">
        <v>74.150000000000006</v>
      </c>
      <c r="G58" s="49"/>
      <c r="H58" s="49"/>
      <c r="I58" s="49"/>
      <c r="J58" s="49"/>
      <c r="K58" s="49" t="str">
        <f t="shared" si="0"/>
        <v>|PAGTO DOC - SEGURO DE VIDA EM GRUPO|PLANO DE SAUDE - SEGURO DE VIDA EM GRUPO|C CUSTO - 15012|TOTAL: 74,15|</v>
      </c>
      <c r="L58" s="49"/>
      <c r="M58" s="50">
        <f t="shared" si="3"/>
        <v>74.150000000000006</v>
      </c>
      <c r="N58" s="1" t="e">
        <f>"|"&amp;"PAGTO DOC - "&amp;F58&amp;"|"&amp;"DESP - "&amp;B58&amp;"|"&amp;"CENTRO CUSTO - "&amp;C58&amp;"|"&amp;I58&amp;"|"&amp;G58&amp;"|"&amp;#REF!&amp;"|"&amp;J58&amp;"|"&amp;H58&amp;"|"&amp;K58&amp;"|"&amp;L58&amp;"|"</f>
        <v>#REF!</v>
      </c>
      <c r="O58" s="1" t="str">
        <f t="shared" si="4"/>
        <v>31201003</v>
      </c>
    </row>
    <row r="59" spans="1:15" x14ac:dyDescent="0.3">
      <c r="A59">
        <v>101</v>
      </c>
      <c r="B59" s="66" t="s">
        <v>13</v>
      </c>
      <c r="C59" s="67">
        <v>15050</v>
      </c>
      <c r="D59" s="68"/>
      <c r="E59" s="66" t="s">
        <v>13</v>
      </c>
      <c r="F59" s="51">
        <v>24.119999999999997</v>
      </c>
      <c r="G59" s="49"/>
      <c r="H59" s="49"/>
      <c r="I59" s="49"/>
      <c r="J59" s="49"/>
      <c r="K59" s="49" t="str">
        <f t="shared" si="0"/>
        <v>|PAGTO DOC - SEGURO DE VIDA EM GRUPO|PLANO DE SAUDE - SEGURO DE VIDA EM GRUPO|C CUSTO - 15050|TOTAL: 24,12|</v>
      </c>
      <c r="L59" s="49"/>
      <c r="M59" s="50">
        <f t="shared" si="3"/>
        <v>24.119999999999997</v>
      </c>
      <c r="N59" s="1" t="e">
        <f>"|"&amp;"PAGTO DOC - "&amp;F59&amp;"|"&amp;"DESP - "&amp;B59&amp;"|"&amp;"CENTRO CUSTO - "&amp;C59&amp;"|"&amp;I59&amp;"|"&amp;G59&amp;"|"&amp;#REF!&amp;"|"&amp;J59&amp;"|"&amp;H59&amp;"|"&amp;K59&amp;"|"&amp;L59&amp;"|"</f>
        <v>#REF!</v>
      </c>
      <c r="O59" s="1" t="str">
        <f t="shared" si="4"/>
        <v>31201003</v>
      </c>
    </row>
    <row r="60" spans="1:15" x14ac:dyDescent="0.3">
      <c r="A60">
        <v>101</v>
      </c>
      <c r="B60" s="66" t="s">
        <v>13</v>
      </c>
      <c r="C60" s="67">
        <v>15051</v>
      </c>
      <c r="D60" s="68"/>
      <c r="E60" s="66" t="s">
        <v>13</v>
      </c>
      <c r="F60" s="51">
        <v>16.079999999999998</v>
      </c>
      <c r="G60" s="49"/>
      <c r="H60" s="49"/>
      <c r="I60" s="49"/>
      <c r="J60" s="49"/>
      <c r="K60" s="49" t="str">
        <f t="shared" si="0"/>
        <v>|PAGTO DOC - SEGURO DE VIDA EM GRUPO|PLANO DE SAUDE - SEGURO DE VIDA EM GRUPO|C CUSTO - 15051|TOTAL: 16,08|</v>
      </c>
      <c r="L60" s="49"/>
      <c r="M60" s="50">
        <f t="shared" si="3"/>
        <v>16.079999999999998</v>
      </c>
      <c r="N60" s="1" t="e">
        <f>"|"&amp;"PAGTO DOC - "&amp;F60&amp;"|"&amp;"DESP - "&amp;B60&amp;"|"&amp;"CENTRO CUSTO - "&amp;C60&amp;"|"&amp;I60&amp;"|"&amp;G60&amp;"|"&amp;#REF!&amp;"|"&amp;J60&amp;"|"&amp;H60&amp;"|"&amp;K60&amp;"|"&amp;L60&amp;"|"</f>
        <v>#REF!</v>
      </c>
      <c r="O60" s="1" t="str">
        <f t="shared" si="4"/>
        <v>31201003</v>
      </c>
    </row>
    <row r="61" spans="1:15" x14ac:dyDescent="0.3">
      <c r="A61">
        <v>101</v>
      </c>
      <c r="B61" s="66" t="s">
        <v>13</v>
      </c>
      <c r="C61" s="67">
        <v>31060</v>
      </c>
      <c r="D61" s="68"/>
      <c r="E61" s="66" t="s">
        <v>13</v>
      </c>
      <c r="F61" s="51">
        <v>48.239999999999995</v>
      </c>
      <c r="G61" s="49"/>
      <c r="H61" s="49"/>
      <c r="I61" s="49"/>
      <c r="J61" s="49"/>
      <c r="K61" s="49" t="str">
        <f t="shared" si="0"/>
        <v>|PAGTO DOC - SEGURO DE VIDA EM GRUPO|PLANO DE SAUDE - SEGURO DE VIDA EM GRUPO|C CUSTO - 31060|TOTAL: 48,24|</v>
      </c>
      <c r="L61" s="49"/>
      <c r="M61" s="50">
        <f t="shared" si="3"/>
        <v>48.239999999999995</v>
      </c>
      <c r="N61" s="1" t="e">
        <f>"|"&amp;"PAGTO DOC - "&amp;F61&amp;"|"&amp;"DESP - "&amp;B61&amp;"|"&amp;"CENTRO CUSTO - "&amp;C61&amp;"|"&amp;I61&amp;"|"&amp;G61&amp;"|"&amp;#REF!&amp;"|"&amp;J61&amp;"|"&amp;H61&amp;"|"&amp;K61&amp;"|"&amp;L61&amp;"|"</f>
        <v>#REF!</v>
      </c>
      <c r="O61" s="1" t="str">
        <f t="shared" si="4"/>
        <v>31201003</v>
      </c>
    </row>
    <row r="62" spans="1:15" x14ac:dyDescent="0.3">
      <c r="A62">
        <v>101</v>
      </c>
      <c r="B62" s="66" t="s">
        <v>13</v>
      </c>
      <c r="C62" s="67">
        <v>31070</v>
      </c>
      <c r="D62" s="68"/>
      <c r="E62" s="66" t="s">
        <v>13</v>
      </c>
      <c r="F62" s="51">
        <v>8.0399999999999991</v>
      </c>
      <c r="G62" s="49"/>
      <c r="H62" s="49"/>
      <c r="I62" s="49"/>
      <c r="J62" s="49"/>
      <c r="K62" s="49" t="str">
        <f t="shared" si="0"/>
        <v>|PAGTO DOC - SEGURO DE VIDA EM GRUPO|PLANO DE SAUDE - SEGURO DE VIDA EM GRUPO|C CUSTO - 31070|TOTAL: 8,04|</v>
      </c>
      <c r="L62" s="49"/>
      <c r="M62" s="50">
        <f t="shared" si="3"/>
        <v>8.0399999999999991</v>
      </c>
      <c r="N62" s="1" t="e">
        <f>"|"&amp;"PAGTO DOC - "&amp;F62&amp;"|"&amp;"DESP - "&amp;B62&amp;"|"&amp;"CENTRO CUSTO - "&amp;C62&amp;"|"&amp;I62&amp;"|"&amp;G62&amp;"|"&amp;#REF!&amp;"|"&amp;J62&amp;"|"&amp;H62&amp;"|"&amp;K62&amp;"|"&amp;L62&amp;"|"</f>
        <v>#REF!</v>
      </c>
      <c r="O62" s="1" t="str">
        <f t="shared" si="4"/>
        <v>31201003</v>
      </c>
    </row>
    <row r="63" spans="1:15" x14ac:dyDescent="0.3">
      <c r="A63">
        <v>101</v>
      </c>
      <c r="B63" s="66" t="s">
        <v>13</v>
      </c>
      <c r="C63" s="67">
        <v>31111</v>
      </c>
      <c r="D63" s="68"/>
      <c r="E63" s="66" t="s">
        <v>13</v>
      </c>
      <c r="F63" s="51">
        <v>8.0399999999999991</v>
      </c>
      <c r="G63" s="49"/>
      <c r="H63" s="49"/>
      <c r="I63" s="49"/>
      <c r="J63" s="49"/>
      <c r="K63" s="49" t="str">
        <f t="shared" si="0"/>
        <v>|PAGTO DOC - SEGURO DE VIDA EM GRUPO|PLANO DE SAUDE - SEGURO DE VIDA EM GRUPO|C CUSTO - 31111|TOTAL: 8,04|</v>
      </c>
      <c r="L63" s="49"/>
      <c r="M63" s="50">
        <f t="shared" si="3"/>
        <v>8.0399999999999991</v>
      </c>
      <c r="N63" s="1" t="e">
        <f>"|"&amp;"PAGTO DOC - "&amp;F63&amp;"|"&amp;"DESP - "&amp;B63&amp;"|"&amp;"CENTRO CUSTO - "&amp;C63&amp;"|"&amp;I63&amp;"|"&amp;G63&amp;"|"&amp;#REF!&amp;"|"&amp;J63&amp;"|"&amp;H63&amp;"|"&amp;K63&amp;"|"&amp;L63&amp;"|"</f>
        <v>#REF!</v>
      </c>
      <c r="O63" s="1" t="str">
        <f t="shared" si="4"/>
        <v>31201003</v>
      </c>
    </row>
    <row r="64" spans="1:15" x14ac:dyDescent="0.3">
      <c r="A64">
        <v>101</v>
      </c>
      <c r="B64" s="66" t="s">
        <v>13</v>
      </c>
      <c r="C64" s="67">
        <v>31114</v>
      </c>
      <c r="D64" s="68"/>
      <c r="E64" s="66" t="s">
        <v>13</v>
      </c>
      <c r="F64" s="51">
        <v>32.159999999999997</v>
      </c>
      <c r="G64" s="49"/>
      <c r="H64" s="49"/>
      <c r="I64" s="49"/>
      <c r="J64" s="49"/>
      <c r="K64" s="49" t="str">
        <f t="shared" si="0"/>
        <v>|PAGTO DOC - SEGURO DE VIDA EM GRUPO|PLANO DE SAUDE - SEGURO DE VIDA EM GRUPO|C CUSTO - 31114|TOTAL: 32,16|</v>
      </c>
      <c r="L64" s="49"/>
      <c r="M64" s="50">
        <f t="shared" si="3"/>
        <v>32.159999999999997</v>
      </c>
      <c r="N64" s="1" t="e">
        <f>"|"&amp;"PAGTO DOC - "&amp;F64&amp;"|"&amp;"DESP - "&amp;B64&amp;"|"&amp;"CENTRO CUSTO - "&amp;C64&amp;"|"&amp;I64&amp;"|"&amp;G64&amp;"|"&amp;#REF!&amp;"|"&amp;J64&amp;"|"&amp;H64&amp;"|"&amp;K64&amp;"|"&amp;L64&amp;"|"</f>
        <v>#REF!</v>
      </c>
      <c r="O64" s="1" t="str">
        <f t="shared" si="4"/>
        <v>31201003</v>
      </c>
    </row>
    <row r="65" spans="1:15" x14ac:dyDescent="0.3">
      <c r="A65">
        <v>101</v>
      </c>
      <c r="B65" s="66" t="s">
        <v>13</v>
      </c>
      <c r="C65" s="67">
        <v>31200</v>
      </c>
      <c r="D65" s="68"/>
      <c r="E65" s="66" t="s">
        <v>13</v>
      </c>
      <c r="F65" s="51">
        <v>8.0399999999999991</v>
      </c>
      <c r="G65" s="49"/>
      <c r="H65" s="49"/>
      <c r="I65" s="49"/>
      <c r="J65" s="49"/>
      <c r="K65" s="49" t="str">
        <f t="shared" ref="K65:K129" si="5">"|"&amp;"PAGTO DOC - "&amp;E65&amp;"|"&amp;"PLANO DE SAUDE - "&amp;B65&amp;"|"&amp;"C CUSTO - "&amp;LEFT(C65,5)&amp;"|"&amp;"TOTAL: "&amp;F65&amp;"|"</f>
        <v>|PAGTO DOC - SEGURO DE VIDA EM GRUPO|PLANO DE SAUDE - SEGURO DE VIDA EM GRUPO|C CUSTO - 31200|TOTAL: 8,04|</v>
      </c>
      <c r="L65" s="49"/>
      <c r="M65" s="50">
        <f t="shared" si="3"/>
        <v>8.0399999999999991</v>
      </c>
      <c r="N65" s="1" t="e">
        <f>"|"&amp;"PAGTO DOC - "&amp;F65&amp;"|"&amp;"DESP - "&amp;B65&amp;"|"&amp;"CENTRO CUSTO - "&amp;C65&amp;"|"&amp;I65&amp;"|"&amp;G65&amp;"|"&amp;#REF!&amp;"|"&amp;J65&amp;"|"&amp;H65&amp;"|"&amp;K65&amp;"|"&amp;L65&amp;"|"</f>
        <v>#REF!</v>
      </c>
      <c r="O65" s="1" t="str">
        <f t="shared" si="4"/>
        <v>31201003</v>
      </c>
    </row>
    <row r="66" spans="1:15" x14ac:dyDescent="0.3">
      <c r="A66">
        <v>101</v>
      </c>
      <c r="B66" s="66" t="s">
        <v>13</v>
      </c>
      <c r="C66" s="67" t="s">
        <v>358</v>
      </c>
      <c r="D66" s="68"/>
      <c r="E66" s="66" t="s">
        <v>13</v>
      </c>
      <c r="F66" s="51">
        <v>230.49</v>
      </c>
      <c r="G66" s="49"/>
      <c r="H66" s="49"/>
      <c r="I66" s="49"/>
      <c r="J66" s="49"/>
      <c r="K66" s="49" t="str">
        <f t="shared" si="5"/>
        <v>|PAGTO DOC - SEGURO DE VIDA EM GRUPO|PLANO DE SAUDE - SEGURO DE VIDA EM GRUPO|C CUSTO - 11011|TOTAL: 230,49|</v>
      </c>
      <c r="L66" s="49"/>
      <c r="M66" s="50">
        <f t="shared" ref="M66:M130" si="6">SUM(F66:L66)</f>
        <v>230.49</v>
      </c>
      <c r="N66" s="1" t="e">
        <f>"|"&amp;"PAGTO DOC - "&amp;F66&amp;"|"&amp;"DESP - "&amp;B66&amp;"|"&amp;"CENTRO CUSTO - "&amp;C66&amp;"|"&amp;I66&amp;"|"&amp;G66&amp;"|"&amp;#REF!&amp;"|"&amp;J66&amp;"|"&amp;H66&amp;"|"&amp;K66&amp;"|"&amp;L66&amp;"|"</f>
        <v>#REF!</v>
      </c>
      <c r="O66" s="1" t="str">
        <f t="shared" ref="O66:O130" si="7">IF(M66=0,0,IF(E66="SEGURO DE VIDA EM GRUPO","31201003","31201005"))</f>
        <v>31201003</v>
      </c>
    </row>
    <row r="67" spans="1:15" x14ac:dyDescent="0.3">
      <c r="A67">
        <v>101</v>
      </c>
      <c r="B67" s="66" t="s">
        <v>13</v>
      </c>
      <c r="C67" s="67" t="s">
        <v>332</v>
      </c>
      <c r="D67" s="68"/>
      <c r="E67" s="66" t="s">
        <v>13</v>
      </c>
      <c r="F67" s="51">
        <v>90.22999999999999</v>
      </c>
      <c r="G67" s="49"/>
      <c r="H67" s="49"/>
      <c r="I67" s="49"/>
      <c r="J67" s="49"/>
      <c r="K67" s="49" t="str">
        <f t="shared" si="5"/>
        <v>|PAGTO DOC - SEGURO DE VIDA EM GRUPO|PLANO DE SAUDE - SEGURO DE VIDA EM GRUPO|C CUSTO - 11012|TOTAL: 90,23|</v>
      </c>
      <c r="L67" s="49"/>
      <c r="M67" s="50">
        <f t="shared" si="6"/>
        <v>90.22999999999999</v>
      </c>
      <c r="N67" s="1" t="e">
        <f>"|"&amp;"PAGTO DOC - "&amp;F67&amp;"|"&amp;"DESP - "&amp;B67&amp;"|"&amp;"CENTRO CUSTO - "&amp;C67&amp;"|"&amp;I67&amp;"|"&amp;G67&amp;"|"&amp;#REF!&amp;"|"&amp;J67&amp;"|"&amp;H67&amp;"|"&amp;K67&amp;"|"&amp;L67&amp;"|"</f>
        <v>#REF!</v>
      </c>
      <c r="O67" s="1" t="str">
        <f t="shared" si="7"/>
        <v>31201003</v>
      </c>
    </row>
    <row r="68" spans="1:15" x14ac:dyDescent="0.3">
      <c r="A68">
        <v>101</v>
      </c>
      <c r="B68" s="66" t="s">
        <v>13</v>
      </c>
      <c r="C68" s="67" t="s">
        <v>359</v>
      </c>
      <c r="D68" s="68"/>
      <c r="E68" s="66" t="s">
        <v>13</v>
      </c>
      <c r="F68" s="51">
        <v>74.150000000000006</v>
      </c>
      <c r="G68" s="49"/>
      <c r="H68" s="49"/>
      <c r="I68" s="49"/>
      <c r="J68" s="49"/>
      <c r="K68" s="49" t="str">
        <f t="shared" si="5"/>
        <v>|PAGTO DOC - SEGURO DE VIDA EM GRUPO|PLANO DE SAUDE - SEGURO DE VIDA EM GRUPO|C CUSTO - 11013|TOTAL: 74,15|</v>
      </c>
      <c r="L68" s="49"/>
      <c r="M68" s="50">
        <f t="shared" si="6"/>
        <v>74.150000000000006</v>
      </c>
      <c r="N68" s="1" t="e">
        <f>"|"&amp;"PAGTO DOC - "&amp;F68&amp;"|"&amp;"DESP - "&amp;B68&amp;"|"&amp;"CENTRO CUSTO - "&amp;C68&amp;"|"&amp;I68&amp;"|"&amp;G68&amp;"|"&amp;#REF!&amp;"|"&amp;J68&amp;"|"&amp;H68&amp;"|"&amp;K68&amp;"|"&amp;L68&amp;"|"</f>
        <v>#REF!</v>
      </c>
      <c r="O68" s="1" t="str">
        <f t="shared" si="7"/>
        <v>31201003</v>
      </c>
    </row>
    <row r="69" spans="1:15" x14ac:dyDescent="0.3">
      <c r="A69">
        <v>101</v>
      </c>
      <c r="B69" s="66" t="s">
        <v>13</v>
      </c>
      <c r="C69" s="67" t="s">
        <v>333</v>
      </c>
      <c r="D69" s="68"/>
      <c r="E69" s="66" t="s">
        <v>13</v>
      </c>
      <c r="F69" s="51">
        <v>64.319999999999993</v>
      </c>
      <c r="G69" s="49"/>
      <c r="H69" s="49"/>
      <c r="I69" s="49"/>
      <c r="J69" s="49"/>
      <c r="K69" s="49" t="str">
        <f t="shared" si="5"/>
        <v>|PAGTO DOC - SEGURO DE VIDA EM GRUPO|PLANO DE SAUDE - SEGURO DE VIDA EM GRUPO|C CUSTO - 13011|TOTAL: 64,32|</v>
      </c>
      <c r="L69" s="49"/>
      <c r="M69" s="50">
        <f t="shared" si="6"/>
        <v>64.319999999999993</v>
      </c>
      <c r="N69" s="1" t="e">
        <f>"|"&amp;"PAGTO DOC - "&amp;F69&amp;"|"&amp;"DESP - "&amp;B69&amp;"|"&amp;"CENTRO CUSTO - "&amp;C69&amp;"|"&amp;I69&amp;"|"&amp;G69&amp;"|"&amp;#REF!&amp;"|"&amp;J69&amp;"|"&amp;H69&amp;"|"&amp;K69&amp;"|"&amp;L69&amp;"|"</f>
        <v>#REF!</v>
      </c>
      <c r="O69" s="1" t="str">
        <f t="shared" si="7"/>
        <v>31201003</v>
      </c>
    </row>
    <row r="70" spans="1:15" x14ac:dyDescent="0.3">
      <c r="A70">
        <v>101</v>
      </c>
      <c r="B70" s="66" t="s">
        <v>13</v>
      </c>
      <c r="C70" s="67" t="s">
        <v>334</v>
      </c>
      <c r="D70" s="68"/>
      <c r="E70" s="66" t="s">
        <v>13</v>
      </c>
      <c r="F70" s="51">
        <v>16.079999999999998</v>
      </c>
      <c r="G70" s="49"/>
      <c r="H70" s="49"/>
      <c r="I70" s="49"/>
      <c r="J70" s="49"/>
      <c r="K70" s="49" t="str">
        <f t="shared" si="5"/>
        <v>|PAGTO DOC - SEGURO DE VIDA EM GRUPO|PLANO DE SAUDE - SEGURO DE VIDA EM GRUPO|C CUSTO - 13012|TOTAL: 16,08|</v>
      </c>
      <c r="L70" s="49"/>
      <c r="M70" s="50">
        <f t="shared" si="6"/>
        <v>16.079999999999998</v>
      </c>
      <c r="N70" s="1" t="e">
        <f>"|"&amp;"PAGTO DOC - "&amp;F70&amp;"|"&amp;"DESP - "&amp;B70&amp;"|"&amp;"CENTRO CUSTO - "&amp;C70&amp;"|"&amp;I70&amp;"|"&amp;G70&amp;"|"&amp;#REF!&amp;"|"&amp;J70&amp;"|"&amp;H70&amp;"|"&amp;K70&amp;"|"&amp;L70&amp;"|"</f>
        <v>#REF!</v>
      </c>
      <c r="O70" s="1" t="str">
        <f t="shared" si="7"/>
        <v>31201003</v>
      </c>
    </row>
    <row r="71" spans="1:15" x14ac:dyDescent="0.3">
      <c r="A71">
        <v>101</v>
      </c>
      <c r="B71" s="66" t="s">
        <v>13</v>
      </c>
      <c r="C71" s="67" t="s">
        <v>335</v>
      </c>
      <c r="D71" s="68"/>
      <c r="E71" s="66" t="s">
        <v>13</v>
      </c>
      <c r="F71" s="51">
        <v>128.32999999999998</v>
      </c>
      <c r="G71" s="49"/>
      <c r="H71" s="49"/>
      <c r="I71" s="49"/>
      <c r="J71" s="49"/>
      <c r="K71" s="49" t="str">
        <f t="shared" si="5"/>
        <v>|PAGTO DOC - SEGURO DE VIDA EM GRUPO|PLANO DE SAUDE - SEGURO DE VIDA EM GRUPO|C CUSTO - 13013|TOTAL: 128,33|</v>
      </c>
      <c r="L71" s="49"/>
      <c r="M71" s="50">
        <f t="shared" si="6"/>
        <v>128.32999999999998</v>
      </c>
      <c r="N71" s="1" t="e">
        <f>"|"&amp;"PAGTO DOC - "&amp;F71&amp;"|"&amp;"DESP - "&amp;B71&amp;"|"&amp;"CENTRO CUSTO - "&amp;C71&amp;"|"&amp;I71&amp;"|"&amp;G71&amp;"|"&amp;#REF!&amp;"|"&amp;J71&amp;"|"&amp;H71&amp;"|"&amp;K71&amp;"|"&amp;L71&amp;"|"</f>
        <v>#REF!</v>
      </c>
      <c r="O71" s="1" t="str">
        <f t="shared" si="7"/>
        <v>31201003</v>
      </c>
    </row>
    <row r="72" spans="1:15" x14ac:dyDescent="0.3">
      <c r="A72">
        <v>101</v>
      </c>
      <c r="B72" s="66" t="s">
        <v>13</v>
      </c>
      <c r="C72" s="67" t="s">
        <v>336</v>
      </c>
      <c r="D72" s="68"/>
      <c r="E72" s="66" t="s">
        <v>13</v>
      </c>
      <c r="F72" s="51">
        <v>40.199999999999996</v>
      </c>
      <c r="G72" s="49"/>
      <c r="H72" s="49"/>
      <c r="I72" s="49"/>
      <c r="J72" s="49"/>
      <c r="K72" s="49" t="str">
        <f t="shared" si="5"/>
        <v>|PAGTO DOC - SEGURO DE VIDA EM GRUPO|PLANO DE SAUDE - SEGURO DE VIDA EM GRUPO|C CUSTO - 13014|TOTAL: 40,2|</v>
      </c>
      <c r="L72" s="49"/>
      <c r="M72" s="50">
        <f t="shared" si="6"/>
        <v>40.199999999999996</v>
      </c>
      <c r="N72" s="1" t="e">
        <f>"|"&amp;"PAGTO DOC - "&amp;F72&amp;"|"&amp;"DESP - "&amp;B72&amp;"|"&amp;"CENTRO CUSTO - "&amp;C72&amp;"|"&amp;I72&amp;"|"&amp;G72&amp;"|"&amp;#REF!&amp;"|"&amp;J72&amp;"|"&amp;H72&amp;"|"&amp;K72&amp;"|"&amp;L72&amp;"|"</f>
        <v>#REF!</v>
      </c>
      <c r="O72" s="1" t="str">
        <f t="shared" si="7"/>
        <v>31201003</v>
      </c>
    </row>
    <row r="73" spans="1:15" x14ac:dyDescent="0.3">
      <c r="A73">
        <v>101</v>
      </c>
      <c r="B73" s="66" t="s">
        <v>13</v>
      </c>
      <c r="C73" s="67" t="s">
        <v>337</v>
      </c>
      <c r="D73" s="68"/>
      <c r="E73" s="66" t="s">
        <v>13</v>
      </c>
      <c r="F73" s="51">
        <v>40.199999999999996</v>
      </c>
      <c r="G73" s="49"/>
      <c r="H73" s="49"/>
      <c r="I73" s="49"/>
      <c r="J73" s="49"/>
      <c r="K73" s="49" t="str">
        <f t="shared" si="5"/>
        <v>|PAGTO DOC - SEGURO DE VIDA EM GRUPO|PLANO DE SAUDE - SEGURO DE VIDA EM GRUPO|C CUSTO - 13016|TOTAL: 40,2|</v>
      </c>
      <c r="L73" s="49"/>
      <c r="M73" s="50">
        <f t="shared" si="6"/>
        <v>40.199999999999996</v>
      </c>
      <c r="N73" s="1" t="e">
        <f>"|"&amp;"PAGTO DOC - "&amp;F73&amp;"|"&amp;"DESP - "&amp;B73&amp;"|"&amp;"CENTRO CUSTO - "&amp;C73&amp;"|"&amp;I73&amp;"|"&amp;G73&amp;"|"&amp;#REF!&amp;"|"&amp;J73&amp;"|"&amp;H73&amp;"|"&amp;K73&amp;"|"&amp;L73&amp;"|"</f>
        <v>#REF!</v>
      </c>
      <c r="O73" s="1" t="str">
        <f t="shared" si="7"/>
        <v>31201003</v>
      </c>
    </row>
    <row r="74" spans="1:15" x14ac:dyDescent="0.3">
      <c r="A74">
        <v>101</v>
      </c>
      <c r="B74" s="66" t="s">
        <v>13</v>
      </c>
      <c r="C74" s="67" t="s">
        <v>400</v>
      </c>
      <c r="D74" s="68"/>
      <c r="E74" s="66" t="s">
        <v>13</v>
      </c>
      <c r="F74" s="51">
        <v>32.159999999999997</v>
      </c>
      <c r="G74" s="49"/>
      <c r="H74" s="49"/>
      <c r="I74" s="49"/>
      <c r="J74" s="49"/>
      <c r="K74" s="49" t="str">
        <f t="shared" si="5"/>
        <v>|PAGTO DOC - SEGURO DE VIDA EM GRUPO|PLANO DE SAUDE - SEGURO DE VIDA EM GRUPO|C CUSTO - 13017|TOTAL: 32,16|</v>
      </c>
      <c r="L74" s="49"/>
      <c r="M74" s="50">
        <f t="shared" si="6"/>
        <v>32.159999999999997</v>
      </c>
      <c r="N74" s="1" t="e">
        <f>"|"&amp;"PAGTO DOC - "&amp;F74&amp;"|"&amp;"DESP - "&amp;B74&amp;"|"&amp;"CENTRO CUSTO - "&amp;C74&amp;"|"&amp;I74&amp;"|"&amp;G74&amp;"|"&amp;#REF!&amp;"|"&amp;J74&amp;"|"&amp;H74&amp;"|"&amp;K74&amp;"|"&amp;L74&amp;"|"</f>
        <v>#REF!</v>
      </c>
      <c r="O74" s="1" t="str">
        <f t="shared" si="7"/>
        <v>31201003</v>
      </c>
    </row>
    <row r="75" spans="1:15" x14ac:dyDescent="0.3">
      <c r="A75">
        <v>101</v>
      </c>
      <c r="B75" s="66" t="s">
        <v>13</v>
      </c>
      <c r="C75" s="67" t="s">
        <v>338</v>
      </c>
      <c r="D75" s="68"/>
      <c r="E75" s="66" t="s">
        <v>13</v>
      </c>
      <c r="F75" s="51">
        <v>24.119999999999997</v>
      </c>
      <c r="G75" s="49"/>
      <c r="H75" s="49"/>
      <c r="I75" s="49"/>
      <c r="J75" s="49"/>
      <c r="K75" s="49" t="str">
        <f t="shared" si="5"/>
        <v>|PAGTO DOC - SEGURO DE VIDA EM GRUPO|PLANO DE SAUDE - SEGURO DE VIDA EM GRUPO|C CUSTO - 13018|TOTAL: 24,12|</v>
      </c>
      <c r="L75" s="49"/>
      <c r="M75" s="50">
        <f t="shared" si="6"/>
        <v>24.119999999999997</v>
      </c>
      <c r="N75" s="1" t="e">
        <f>"|"&amp;"PAGTO DOC - "&amp;F75&amp;"|"&amp;"DESP - "&amp;B75&amp;"|"&amp;"CENTRO CUSTO - "&amp;C75&amp;"|"&amp;I75&amp;"|"&amp;G75&amp;"|"&amp;#REF!&amp;"|"&amp;J75&amp;"|"&amp;H75&amp;"|"&amp;K75&amp;"|"&amp;L75&amp;"|"</f>
        <v>#REF!</v>
      </c>
      <c r="O75" s="1" t="str">
        <f t="shared" si="7"/>
        <v>31201003</v>
      </c>
    </row>
    <row r="76" spans="1:15" x14ac:dyDescent="0.3">
      <c r="A76">
        <v>101</v>
      </c>
      <c r="B76" s="66" t="s">
        <v>13</v>
      </c>
      <c r="C76" s="67" t="s">
        <v>401</v>
      </c>
      <c r="D76" s="68"/>
      <c r="E76" s="66" t="s">
        <v>13</v>
      </c>
      <c r="F76" s="51">
        <v>24.119999999999997</v>
      </c>
      <c r="G76" s="49"/>
      <c r="H76" s="49"/>
      <c r="I76" s="49"/>
      <c r="J76" s="49"/>
      <c r="K76" s="49" t="str">
        <f t="shared" si="5"/>
        <v>|PAGTO DOC - SEGURO DE VIDA EM GRUPO|PLANO DE SAUDE - SEGURO DE VIDA EM GRUPO|C CUSTO - 13019|TOTAL: 24,12|</v>
      </c>
      <c r="L76" s="49"/>
      <c r="M76" s="50">
        <f t="shared" si="6"/>
        <v>24.119999999999997</v>
      </c>
      <c r="N76" s="1" t="e">
        <f>"|"&amp;"PAGTO DOC - "&amp;F76&amp;"|"&amp;"DESP - "&amp;B76&amp;"|"&amp;"CENTRO CUSTO - "&amp;C76&amp;"|"&amp;I76&amp;"|"&amp;G76&amp;"|"&amp;#REF!&amp;"|"&amp;J76&amp;"|"&amp;H76&amp;"|"&amp;K76&amp;"|"&amp;L76&amp;"|"</f>
        <v>#REF!</v>
      </c>
      <c r="O76" s="1" t="str">
        <f t="shared" si="7"/>
        <v>31201003</v>
      </c>
    </row>
    <row r="77" spans="1:15" x14ac:dyDescent="0.3">
      <c r="A77">
        <v>101</v>
      </c>
      <c r="B77" s="66" t="s">
        <v>13</v>
      </c>
      <c r="C77" s="67" t="s">
        <v>402</v>
      </c>
      <c r="D77" s="68"/>
      <c r="E77" s="66" t="s">
        <v>13</v>
      </c>
      <c r="F77" s="51">
        <v>64.319999999999993</v>
      </c>
      <c r="G77" s="49"/>
      <c r="H77" s="49"/>
      <c r="I77" s="49"/>
      <c r="J77" s="49"/>
      <c r="K77" s="49" t="str">
        <f t="shared" si="5"/>
        <v>|PAGTO DOC - SEGURO DE VIDA EM GRUPO|PLANO DE SAUDE - SEGURO DE VIDA EM GRUPO|C CUSTO - 13021|TOTAL: 64,32|</v>
      </c>
      <c r="L77" s="49"/>
      <c r="M77" s="50">
        <f t="shared" si="6"/>
        <v>64.319999999999993</v>
      </c>
      <c r="N77" s="1" t="e">
        <f>"|"&amp;"PAGTO DOC - "&amp;F77&amp;"|"&amp;"DESP - "&amp;B77&amp;"|"&amp;"CENTRO CUSTO - "&amp;C77&amp;"|"&amp;I77&amp;"|"&amp;G77&amp;"|"&amp;#REF!&amp;"|"&amp;J77&amp;"|"&amp;H77&amp;"|"&amp;K77&amp;"|"&amp;L77&amp;"|"</f>
        <v>#REF!</v>
      </c>
      <c r="O77" s="1" t="str">
        <f t="shared" si="7"/>
        <v>31201003</v>
      </c>
    </row>
    <row r="78" spans="1:15" x14ac:dyDescent="0.3">
      <c r="A78">
        <v>101</v>
      </c>
      <c r="B78" s="66" t="s">
        <v>13</v>
      </c>
      <c r="C78" s="67" t="s">
        <v>339</v>
      </c>
      <c r="D78" s="68"/>
      <c r="E78" s="66" t="s">
        <v>13</v>
      </c>
      <c r="F78" s="51">
        <v>72.359999999999985</v>
      </c>
      <c r="G78" s="49"/>
      <c r="H78" s="49"/>
      <c r="I78" s="49"/>
      <c r="J78" s="49"/>
      <c r="K78" s="49" t="str">
        <f t="shared" si="5"/>
        <v>|PAGTO DOC - SEGURO DE VIDA EM GRUPO|PLANO DE SAUDE - SEGURO DE VIDA EM GRUPO|C CUSTO - 14012|TOTAL: 72,36|</v>
      </c>
      <c r="L78" s="49"/>
      <c r="M78" s="50">
        <f t="shared" si="6"/>
        <v>72.359999999999985</v>
      </c>
      <c r="N78" s="1" t="e">
        <f>"|"&amp;"PAGTO DOC - "&amp;F78&amp;"|"&amp;"DESP - "&amp;B78&amp;"|"&amp;"CENTRO CUSTO - "&amp;C78&amp;"|"&amp;I78&amp;"|"&amp;G78&amp;"|"&amp;#REF!&amp;"|"&amp;J78&amp;"|"&amp;H78&amp;"|"&amp;K78&amp;"|"&amp;L78&amp;"|"</f>
        <v>#REF!</v>
      </c>
      <c r="O78" s="1" t="str">
        <f t="shared" si="7"/>
        <v>31201003</v>
      </c>
    </row>
    <row r="79" spans="1:15" x14ac:dyDescent="0.3">
      <c r="A79">
        <v>101</v>
      </c>
      <c r="B79" s="66" t="s">
        <v>13</v>
      </c>
      <c r="C79" s="67" t="s">
        <v>360</v>
      </c>
      <c r="D79" s="68"/>
      <c r="E79" s="66" t="s">
        <v>13</v>
      </c>
      <c r="F79" s="51">
        <v>56.279999999999994</v>
      </c>
      <c r="G79" s="49"/>
      <c r="H79" s="49"/>
      <c r="I79" s="49"/>
      <c r="J79" s="49"/>
      <c r="K79" s="49" t="str">
        <f t="shared" si="5"/>
        <v>|PAGTO DOC - SEGURO DE VIDA EM GRUPO|PLANO DE SAUDE - SEGURO DE VIDA EM GRUPO|C CUSTO - 14050|TOTAL: 56,28|</v>
      </c>
      <c r="L79" s="49"/>
      <c r="M79" s="50">
        <f t="shared" si="6"/>
        <v>56.279999999999994</v>
      </c>
      <c r="N79" s="1" t="e">
        <f>"|"&amp;"PAGTO DOC - "&amp;F79&amp;"|"&amp;"DESP - "&amp;B79&amp;"|"&amp;"CENTRO CUSTO - "&amp;C79&amp;"|"&amp;I79&amp;"|"&amp;G79&amp;"|"&amp;#REF!&amp;"|"&amp;J79&amp;"|"&amp;H79&amp;"|"&amp;K79&amp;"|"&amp;L79&amp;"|"</f>
        <v>#REF!</v>
      </c>
      <c r="O79" s="1" t="str">
        <f t="shared" si="7"/>
        <v>31201003</v>
      </c>
    </row>
    <row r="80" spans="1:15" x14ac:dyDescent="0.3">
      <c r="A80">
        <v>101</v>
      </c>
      <c r="B80" s="66" t="s">
        <v>13</v>
      </c>
      <c r="C80" s="67" t="s">
        <v>340</v>
      </c>
      <c r="D80" s="68"/>
      <c r="E80" s="66" t="s">
        <v>13</v>
      </c>
      <c r="F80" s="51">
        <v>72.359999999999985</v>
      </c>
      <c r="G80" s="49"/>
      <c r="H80" s="49"/>
      <c r="I80" s="49"/>
      <c r="J80" s="49"/>
      <c r="K80" s="49" t="str">
        <f t="shared" si="5"/>
        <v>|PAGTO DOC - SEGURO DE VIDA EM GRUPO|PLANO DE SAUDE - SEGURO DE VIDA EM GRUPO|C CUSTO - 14051|TOTAL: 72,36|</v>
      </c>
      <c r="L80" s="49"/>
      <c r="M80" s="50">
        <f t="shared" si="6"/>
        <v>72.359999999999985</v>
      </c>
      <c r="N80" s="1" t="e">
        <f>"|"&amp;"PAGTO DOC - "&amp;F80&amp;"|"&amp;"DESP - "&amp;B80&amp;"|"&amp;"CENTRO CUSTO - "&amp;C80&amp;"|"&amp;I80&amp;"|"&amp;G80&amp;"|"&amp;#REF!&amp;"|"&amp;J80&amp;"|"&amp;H80&amp;"|"&amp;K80&amp;"|"&amp;L80&amp;"|"</f>
        <v>#REF!</v>
      </c>
      <c r="O80" s="1" t="str">
        <f t="shared" si="7"/>
        <v>31201003</v>
      </c>
    </row>
    <row r="81" spans="1:15" x14ac:dyDescent="0.3">
      <c r="A81">
        <v>101</v>
      </c>
      <c r="B81" s="66" t="s">
        <v>13</v>
      </c>
      <c r="C81" s="67" t="s">
        <v>341</v>
      </c>
      <c r="D81" s="68"/>
      <c r="E81" s="66" t="s">
        <v>13</v>
      </c>
      <c r="F81" s="51">
        <v>24.119999999999997</v>
      </c>
      <c r="G81" s="49"/>
      <c r="H81" s="49"/>
      <c r="I81" s="49"/>
      <c r="J81" s="49"/>
      <c r="K81" s="49" t="str">
        <f t="shared" si="5"/>
        <v>|PAGTO DOC - SEGURO DE VIDA EM GRUPO|PLANO DE SAUDE - SEGURO DE VIDA EM GRUPO|C CUSTO - 14052|TOTAL: 24,12|</v>
      </c>
      <c r="L81" s="49"/>
      <c r="M81" s="50">
        <f t="shared" si="6"/>
        <v>24.119999999999997</v>
      </c>
      <c r="N81" s="1" t="e">
        <f>"|"&amp;"PAGTO DOC - "&amp;F81&amp;"|"&amp;"DESP - "&amp;B81&amp;"|"&amp;"CENTRO CUSTO - "&amp;C81&amp;"|"&amp;I81&amp;"|"&amp;G81&amp;"|"&amp;#REF!&amp;"|"&amp;J81&amp;"|"&amp;H81&amp;"|"&amp;K81&amp;"|"&amp;L81&amp;"|"</f>
        <v>#REF!</v>
      </c>
      <c r="O81" s="1" t="str">
        <f t="shared" si="7"/>
        <v>31201003</v>
      </c>
    </row>
    <row r="82" spans="1:15" x14ac:dyDescent="0.3">
      <c r="A82">
        <v>101</v>
      </c>
      <c r="B82" s="66" t="s">
        <v>13</v>
      </c>
      <c r="C82" s="67" t="s">
        <v>361</v>
      </c>
      <c r="D82" s="68"/>
      <c r="E82" s="66" t="s">
        <v>13</v>
      </c>
      <c r="F82" s="51">
        <v>112.55999999999995</v>
      </c>
      <c r="G82" s="49"/>
      <c r="H82" s="49"/>
      <c r="I82" s="49"/>
      <c r="J82" s="49"/>
      <c r="K82" s="49" t="str">
        <f t="shared" si="5"/>
        <v>|PAGTO DOC - SEGURO DE VIDA EM GRUPO|PLANO DE SAUDE - SEGURO DE VIDA EM GRUPO|C CUSTO - 14056|TOTAL: 112,56|</v>
      </c>
      <c r="L82" s="49"/>
      <c r="M82" s="50">
        <f t="shared" si="6"/>
        <v>112.55999999999995</v>
      </c>
      <c r="N82" s="1" t="e">
        <f>"|"&amp;"PAGTO DOC - "&amp;F82&amp;"|"&amp;"DESP - "&amp;B82&amp;"|"&amp;"CENTRO CUSTO - "&amp;C82&amp;"|"&amp;I82&amp;"|"&amp;G82&amp;"|"&amp;#REF!&amp;"|"&amp;J82&amp;"|"&amp;H82&amp;"|"&amp;K82&amp;"|"&amp;L82&amp;"|"</f>
        <v>#REF!</v>
      </c>
      <c r="O82" s="1" t="str">
        <f t="shared" si="7"/>
        <v>31201003</v>
      </c>
    </row>
    <row r="83" spans="1:15" x14ac:dyDescent="0.3">
      <c r="A83">
        <v>101</v>
      </c>
      <c r="B83" s="66" t="s">
        <v>13</v>
      </c>
      <c r="C83" s="67" t="s">
        <v>342</v>
      </c>
      <c r="D83" s="68"/>
      <c r="E83" s="66" t="s">
        <v>13</v>
      </c>
      <c r="F83" s="51">
        <v>24.119999999999997</v>
      </c>
      <c r="G83" s="49"/>
      <c r="H83" s="49"/>
      <c r="I83" s="49"/>
      <c r="J83" s="49"/>
      <c r="K83" s="49" t="str">
        <f t="shared" si="5"/>
        <v>|PAGTO DOC - SEGURO DE VIDA EM GRUPO|PLANO DE SAUDE - SEGURO DE VIDA EM GRUPO|C CUSTO - 14058|TOTAL: 24,12|</v>
      </c>
      <c r="L83" s="49"/>
      <c r="M83" s="50">
        <f t="shared" si="6"/>
        <v>24.119999999999997</v>
      </c>
      <c r="N83" s="1" t="e">
        <f>"|"&amp;"PAGTO DOC - "&amp;F83&amp;"|"&amp;"DESP - "&amp;B83&amp;"|"&amp;"CENTRO CUSTO - "&amp;C83&amp;"|"&amp;I83&amp;"|"&amp;G83&amp;"|"&amp;#REF!&amp;"|"&amp;J83&amp;"|"&amp;H83&amp;"|"&amp;K83&amp;"|"&amp;L83&amp;"|"</f>
        <v>#REF!</v>
      </c>
      <c r="O83" s="1" t="str">
        <f t="shared" si="7"/>
        <v>31201003</v>
      </c>
    </row>
    <row r="84" spans="1:15" x14ac:dyDescent="0.3">
      <c r="A84">
        <v>101</v>
      </c>
      <c r="B84" s="66" t="s">
        <v>13</v>
      </c>
      <c r="C84" s="67" t="s">
        <v>343</v>
      </c>
      <c r="D84" s="68"/>
      <c r="E84" s="66" t="s">
        <v>13</v>
      </c>
      <c r="F84" s="51">
        <v>62.219999999999992</v>
      </c>
      <c r="G84" s="49"/>
      <c r="H84" s="49"/>
      <c r="I84" s="49"/>
      <c r="J84" s="49"/>
      <c r="K84" s="49" t="str">
        <f t="shared" si="5"/>
        <v>|PAGTO DOC - SEGURO DE VIDA EM GRUPO|PLANO DE SAUDE - SEGURO DE VIDA EM GRUPO|C CUSTO - 15012|TOTAL: 62,22|</v>
      </c>
      <c r="L84" s="49"/>
      <c r="M84" s="50">
        <f t="shared" si="6"/>
        <v>62.219999999999992</v>
      </c>
      <c r="N84" s="1" t="e">
        <f>"|"&amp;"PAGTO DOC - "&amp;F84&amp;"|"&amp;"DESP - "&amp;B84&amp;"|"&amp;"CENTRO CUSTO - "&amp;C84&amp;"|"&amp;I84&amp;"|"&amp;G84&amp;"|"&amp;#REF!&amp;"|"&amp;J84&amp;"|"&amp;H84&amp;"|"&amp;K84&amp;"|"&amp;L84&amp;"|"</f>
        <v>#REF!</v>
      </c>
      <c r="O84" s="1" t="str">
        <f t="shared" si="7"/>
        <v>31201003</v>
      </c>
    </row>
    <row r="85" spans="1:15" x14ac:dyDescent="0.3">
      <c r="A85">
        <v>101</v>
      </c>
      <c r="B85" s="66" t="s">
        <v>13</v>
      </c>
      <c r="C85" s="67" t="s">
        <v>410</v>
      </c>
      <c r="D85" s="68"/>
      <c r="E85" s="66" t="s">
        <v>13</v>
      </c>
      <c r="F85" s="51">
        <v>217.07999999999984</v>
      </c>
      <c r="G85" s="49"/>
      <c r="H85" s="49"/>
      <c r="I85" s="49"/>
      <c r="J85" s="49"/>
      <c r="K85" s="49" t="str">
        <f t="shared" si="5"/>
        <v>|PAGTO DOC - SEGURO DE VIDA EM GRUPO|PLANO DE SAUDE - SEGURO DE VIDA EM GRUPO|C CUSTO - 15050|TOTAL: 217,08|</v>
      </c>
      <c r="L85" s="49"/>
      <c r="M85" s="50">
        <f t="shared" si="6"/>
        <v>217.07999999999984</v>
      </c>
      <c r="N85" s="1" t="e">
        <f>"|"&amp;"PAGTO DOC - "&amp;F85&amp;"|"&amp;"DESP - "&amp;B85&amp;"|"&amp;"CENTRO CUSTO - "&amp;C85&amp;"|"&amp;I85&amp;"|"&amp;G85&amp;"|"&amp;#REF!&amp;"|"&amp;J85&amp;"|"&amp;H85&amp;"|"&amp;K85&amp;"|"&amp;L85&amp;"|"</f>
        <v>#REF!</v>
      </c>
      <c r="O85" s="1" t="str">
        <f t="shared" si="7"/>
        <v>31201003</v>
      </c>
    </row>
    <row r="86" spans="1:15" x14ac:dyDescent="0.3">
      <c r="A86">
        <v>101</v>
      </c>
      <c r="B86" s="66" t="s">
        <v>13</v>
      </c>
      <c r="C86" s="67" t="s">
        <v>403</v>
      </c>
      <c r="D86" s="68"/>
      <c r="E86" s="66" t="s">
        <v>13</v>
      </c>
      <c r="F86" s="51">
        <v>168.83999999999989</v>
      </c>
      <c r="G86" s="49"/>
      <c r="H86" s="49"/>
      <c r="I86" s="49"/>
      <c r="J86" s="49"/>
      <c r="K86" s="49" t="str">
        <f t="shared" si="5"/>
        <v>|PAGTO DOC - SEGURO DE VIDA EM GRUPO|PLANO DE SAUDE - SEGURO DE VIDA EM GRUPO|C CUSTO - 15051|TOTAL: 168,84|</v>
      </c>
      <c r="L86" s="49"/>
      <c r="M86" s="50">
        <f t="shared" si="6"/>
        <v>168.83999999999989</v>
      </c>
      <c r="N86" s="1" t="e">
        <f>"|"&amp;"PAGTO DOC - "&amp;F86&amp;"|"&amp;"DESP - "&amp;B86&amp;"|"&amp;"CENTRO CUSTO - "&amp;C86&amp;"|"&amp;I86&amp;"|"&amp;G86&amp;"|"&amp;#REF!&amp;"|"&amp;J86&amp;"|"&amp;H86&amp;"|"&amp;K86&amp;"|"&amp;L86&amp;"|"</f>
        <v>#REF!</v>
      </c>
      <c r="O86" s="1" t="str">
        <f t="shared" si="7"/>
        <v>31201003</v>
      </c>
    </row>
    <row r="87" spans="1:15" x14ac:dyDescent="0.3">
      <c r="A87">
        <v>101</v>
      </c>
      <c r="B87" s="66" t="s">
        <v>13</v>
      </c>
      <c r="C87" s="67" t="s">
        <v>344</v>
      </c>
      <c r="D87" s="68"/>
      <c r="E87" s="66" t="s">
        <v>13</v>
      </c>
      <c r="F87" s="51">
        <v>72.359999999999985</v>
      </c>
      <c r="G87" s="49"/>
      <c r="H87" s="49"/>
      <c r="I87" s="49"/>
      <c r="J87" s="49"/>
      <c r="K87" s="49" t="str">
        <f t="shared" si="5"/>
        <v>|PAGTO DOC - SEGURO DE VIDA EM GRUPO|PLANO DE SAUDE - SEGURO DE VIDA EM GRUPO|C CUSTO - 21011|TOTAL: 72,36|</v>
      </c>
      <c r="L87" s="49"/>
      <c r="M87" s="50">
        <f t="shared" si="6"/>
        <v>72.359999999999985</v>
      </c>
      <c r="N87" s="1" t="e">
        <f>"|"&amp;"PAGTO DOC - "&amp;F87&amp;"|"&amp;"DESP - "&amp;B87&amp;"|"&amp;"CENTRO CUSTO - "&amp;C87&amp;"|"&amp;I87&amp;"|"&amp;G87&amp;"|"&amp;#REF!&amp;"|"&amp;J87&amp;"|"&amp;H87&amp;"|"&amp;K87&amp;"|"&amp;L87&amp;"|"</f>
        <v>#REF!</v>
      </c>
      <c r="O87" s="1" t="str">
        <f t="shared" si="7"/>
        <v>31201003</v>
      </c>
    </row>
    <row r="88" spans="1:15" x14ac:dyDescent="0.3">
      <c r="A88">
        <v>101</v>
      </c>
      <c r="B88" s="66" t="s">
        <v>13</v>
      </c>
      <c r="C88" s="67" t="s">
        <v>345</v>
      </c>
      <c r="D88" s="68"/>
      <c r="E88" s="66" t="s">
        <v>13</v>
      </c>
      <c r="F88" s="51">
        <v>112.55999999999995</v>
      </c>
      <c r="G88" s="49"/>
      <c r="H88" s="49"/>
      <c r="I88" s="49"/>
      <c r="J88" s="49"/>
      <c r="K88" s="49" t="str">
        <f t="shared" si="5"/>
        <v>|PAGTO DOC - SEGURO DE VIDA EM GRUPO|PLANO DE SAUDE - SEGURO DE VIDA EM GRUPO|C CUSTO - 21012|TOTAL: 112,56|</v>
      </c>
      <c r="L88" s="49"/>
      <c r="M88" s="50">
        <f t="shared" si="6"/>
        <v>112.55999999999995</v>
      </c>
      <c r="N88" s="1" t="e">
        <f>"|"&amp;"PAGTO DOC - "&amp;F88&amp;"|"&amp;"DESP - "&amp;B88&amp;"|"&amp;"CENTRO CUSTO - "&amp;C88&amp;"|"&amp;I88&amp;"|"&amp;G88&amp;"|"&amp;#REF!&amp;"|"&amp;J88&amp;"|"&amp;H88&amp;"|"&amp;K88&amp;"|"&amp;L88&amp;"|"</f>
        <v>#REF!</v>
      </c>
      <c r="O88" s="1" t="str">
        <f t="shared" si="7"/>
        <v>31201003</v>
      </c>
    </row>
    <row r="89" spans="1:15" x14ac:dyDescent="0.3">
      <c r="A89">
        <v>101</v>
      </c>
      <c r="B89" s="66" t="s">
        <v>13</v>
      </c>
      <c r="C89" s="67" t="s">
        <v>404</v>
      </c>
      <c r="D89" s="68"/>
      <c r="E89" s="66" t="s">
        <v>13</v>
      </c>
      <c r="F89" s="51">
        <v>24.119999999999997</v>
      </c>
      <c r="G89" s="49"/>
      <c r="H89" s="49"/>
      <c r="I89" s="49"/>
      <c r="J89" s="49"/>
      <c r="K89" s="49" t="str">
        <f t="shared" si="5"/>
        <v>|PAGTO DOC - SEGURO DE VIDA EM GRUPO|PLANO DE SAUDE - SEGURO DE VIDA EM GRUPO|C CUSTO - 21013|TOTAL: 24,12|</v>
      </c>
      <c r="L89" s="49"/>
      <c r="M89" s="50">
        <f t="shared" si="6"/>
        <v>24.119999999999997</v>
      </c>
      <c r="N89" s="1" t="e">
        <f>"|"&amp;"PAGTO DOC - "&amp;F89&amp;"|"&amp;"DESP - "&amp;B89&amp;"|"&amp;"CENTRO CUSTO - "&amp;C89&amp;"|"&amp;I89&amp;"|"&amp;G89&amp;"|"&amp;#REF!&amp;"|"&amp;J89&amp;"|"&amp;H89&amp;"|"&amp;K89&amp;"|"&amp;L89&amp;"|"</f>
        <v>#REF!</v>
      </c>
      <c r="O89" s="1" t="str">
        <f t="shared" si="7"/>
        <v>31201003</v>
      </c>
    </row>
    <row r="90" spans="1:15" x14ac:dyDescent="0.3">
      <c r="A90">
        <v>101</v>
      </c>
      <c r="B90" s="66" t="s">
        <v>13</v>
      </c>
      <c r="C90" s="69" t="s">
        <v>346</v>
      </c>
      <c r="D90" s="68"/>
      <c r="E90" s="66" t="s">
        <v>13</v>
      </c>
      <c r="F90" s="51">
        <v>80.399999999999977</v>
      </c>
      <c r="G90" s="49"/>
      <c r="H90" s="49"/>
      <c r="I90" s="49"/>
      <c r="J90" s="49"/>
      <c r="K90" s="49" t="str">
        <f t="shared" si="5"/>
        <v>|PAGTO DOC - SEGURO DE VIDA EM GRUPO|PLANO DE SAUDE - SEGURO DE VIDA EM GRUPO|C CUSTO - 31040|TOTAL: 80,4|</v>
      </c>
      <c r="L90" s="49"/>
      <c r="M90" s="50">
        <f t="shared" si="6"/>
        <v>80.399999999999977</v>
      </c>
      <c r="N90" s="1" t="e">
        <f>"|"&amp;"PAGTO DOC - "&amp;F90&amp;"|"&amp;"DESP - "&amp;B90&amp;"|"&amp;"CENTRO CUSTO - "&amp;C90&amp;"|"&amp;I90&amp;"|"&amp;G90&amp;"|"&amp;#REF!&amp;"|"&amp;J90&amp;"|"&amp;H90&amp;"|"&amp;K90&amp;"|"&amp;L90&amp;"|"</f>
        <v>#REF!</v>
      </c>
      <c r="O90" s="1" t="str">
        <f t="shared" si="7"/>
        <v>31201003</v>
      </c>
    </row>
    <row r="91" spans="1:15" x14ac:dyDescent="0.3">
      <c r="A91">
        <v>101</v>
      </c>
      <c r="B91" s="66" t="s">
        <v>13</v>
      </c>
      <c r="C91" s="67" t="s">
        <v>347</v>
      </c>
      <c r="D91" s="68"/>
      <c r="E91" s="66" t="s">
        <v>13</v>
      </c>
      <c r="F91" s="51">
        <v>466.32000000000033</v>
      </c>
      <c r="G91" s="49"/>
      <c r="H91" s="49"/>
      <c r="I91" s="49"/>
      <c r="J91" s="49"/>
      <c r="K91" s="49" t="str">
        <f t="shared" si="5"/>
        <v>|PAGTO DOC - SEGURO DE VIDA EM GRUPO|PLANO DE SAUDE - SEGURO DE VIDA EM GRUPO|C CUSTO - 31060|TOTAL: 466,32|</v>
      </c>
      <c r="L91" s="49"/>
      <c r="M91" s="50">
        <f t="shared" si="6"/>
        <v>466.32000000000033</v>
      </c>
      <c r="N91" s="1" t="e">
        <f>"|"&amp;"PAGTO DOC - "&amp;F91&amp;"|"&amp;"DESP - "&amp;B91&amp;"|"&amp;"CENTRO CUSTO - "&amp;C91&amp;"|"&amp;I91&amp;"|"&amp;G91&amp;"|"&amp;#REF!&amp;"|"&amp;J91&amp;"|"&amp;H91&amp;"|"&amp;K91&amp;"|"&amp;L91&amp;"|"</f>
        <v>#REF!</v>
      </c>
      <c r="O91" s="1" t="str">
        <f t="shared" si="7"/>
        <v>31201003</v>
      </c>
    </row>
    <row r="92" spans="1:15" x14ac:dyDescent="0.3">
      <c r="A92">
        <v>101</v>
      </c>
      <c r="B92" s="66" t="s">
        <v>13</v>
      </c>
      <c r="C92" s="67" t="s">
        <v>348</v>
      </c>
      <c r="D92" s="68"/>
      <c r="E92" s="66" t="s">
        <v>13</v>
      </c>
      <c r="F92" s="51">
        <v>104.51999999999995</v>
      </c>
      <c r="G92" s="49"/>
      <c r="H92" s="49"/>
      <c r="I92" s="49"/>
      <c r="J92" s="49"/>
      <c r="K92" s="49" t="str">
        <f t="shared" si="5"/>
        <v>|PAGTO DOC - SEGURO DE VIDA EM GRUPO|PLANO DE SAUDE - SEGURO DE VIDA EM GRUPO|C CUSTO - 31070|TOTAL: 104,52|</v>
      </c>
      <c r="L92" s="49"/>
      <c r="M92" s="50">
        <f t="shared" si="6"/>
        <v>104.51999999999995</v>
      </c>
      <c r="N92" s="1" t="e">
        <f>"|"&amp;"PAGTO DOC - "&amp;F92&amp;"|"&amp;"DESP - "&amp;B92&amp;"|"&amp;"CENTRO CUSTO - "&amp;C92&amp;"|"&amp;I92&amp;"|"&amp;G92&amp;"|"&amp;#REF!&amp;"|"&amp;J92&amp;"|"&amp;H92&amp;"|"&amp;K92&amp;"|"&amp;L92&amp;"|"</f>
        <v>#REF!</v>
      </c>
      <c r="O92" s="1" t="str">
        <f t="shared" si="7"/>
        <v>31201003</v>
      </c>
    </row>
    <row r="93" spans="1:15" x14ac:dyDescent="0.3">
      <c r="A93">
        <v>101</v>
      </c>
      <c r="B93" s="66" t="s">
        <v>13</v>
      </c>
      <c r="C93" s="67" t="s">
        <v>349</v>
      </c>
      <c r="D93" s="68"/>
      <c r="E93" s="66" t="s">
        <v>13</v>
      </c>
      <c r="F93" s="51">
        <v>337.68</v>
      </c>
      <c r="G93" s="49"/>
      <c r="H93" s="49"/>
      <c r="I93" s="49"/>
      <c r="J93" s="49"/>
      <c r="K93" s="49" t="str">
        <f t="shared" si="5"/>
        <v>|PAGTO DOC - SEGURO DE VIDA EM GRUPO|PLANO DE SAUDE - SEGURO DE VIDA EM GRUPO|C CUSTO - 31090|TOTAL: 337,68|</v>
      </c>
      <c r="L93" s="49"/>
      <c r="M93" s="50">
        <f t="shared" si="6"/>
        <v>337.68</v>
      </c>
      <c r="N93" s="1" t="e">
        <f>"|"&amp;"PAGTO DOC - "&amp;F93&amp;"|"&amp;"DESP - "&amp;B93&amp;"|"&amp;"CENTRO CUSTO - "&amp;C93&amp;"|"&amp;I93&amp;"|"&amp;G93&amp;"|"&amp;#REF!&amp;"|"&amp;J93&amp;"|"&amp;H93&amp;"|"&amp;K93&amp;"|"&amp;L93&amp;"|"</f>
        <v>#REF!</v>
      </c>
      <c r="O93" s="1" t="str">
        <f t="shared" si="7"/>
        <v>31201003</v>
      </c>
    </row>
    <row r="94" spans="1:15" x14ac:dyDescent="0.3">
      <c r="A94">
        <v>101</v>
      </c>
      <c r="B94" s="66" t="s">
        <v>13</v>
      </c>
      <c r="C94" s="67" t="s">
        <v>405</v>
      </c>
      <c r="D94" s="68"/>
      <c r="E94" s="66" t="s">
        <v>13</v>
      </c>
      <c r="F94" s="51">
        <v>80.399999999999977</v>
      </c>
      <c r="G94" s="49"/>
      <c r="H94" s="49"/>
      <c r="I94" s="49"/>
      <c r="J94" s="49"/>
      <c r="K94" s="49" t="str">
        <f t="shared" si="5"/>
        <v>|PAGTO DOC - SEGURO DE VIDA EM GRUPO|PLANO DE SAUDE - SEGURO DE VIDA EM GRUPO|C CUSTO - 31100|TOTAL: 80,4|</v>
      </c>
      <c r="L94" s="49"/>
      <c r="M94" s="50">
        <f t="shared" si="6"/>
        <v>80.399999999999977</v>
      </c>
      <c r="N94" s="1" t="e">
        <f>"|"&amp;"PAGTO DOC - "&amp;F94&amp;"|"&amp;"DESP - "&amp;B94&amp;"|"&amp;"CENTRO CUSTO - "&amp;C94&amp;"|"&amp;I94&amp;"|"&amp;G94&amp;"|"&amp;#REF!&amp;"|"&amp;J94&amp;"|"&amp;H94&amp;"|"&amp;K94&amp;"|"&amp;L94&amp;"|"</f>
        <v>#REF!</v>
      </c>
      <c r="O94" s="1" t="str">
        <f t="shared" si="7"/>
        <v>31201003</v>
      </c>
    </row>
    <row r="95" spans="1:15" x14ac:dyDescent="0.3">
      <c r="A95">
        <v>101</v>
      </c>
      <c r="B95" s="66" t="s">
        <v>13</v>
      </c>
      <c r="C95" s="67" t="s">
        <v>350</v>
      </c>
      <c r="D95" s="68"/>
      <c r="E95" s="66" t="s">
        <v>13</v>
      </c>
      <c r="F95" s="51">
        <v>32.159999999999997</v>
      </c>
      <c r="G95" s="49"/>
      <c r="H95" s="49"/>
      <c r="I95" s="49"/>
      <c r="J95" s="49"/>
      <c r="K95" s="49" t="str">
        <f t="shared" si="5"/>
        <v>|PAGTO DOC - SEGURO DE VIDA EM GRUPO|PLANO DE SAUDE - SEGURO DE VIDA EM GRUPO|C CUSTO - 31111|TOTAL: 32,16|</v>
      </c>
      <c r="L95" s="49"/>
      <c r="M95" s="50">
        <f t="shared" si="6"/>
        <v>32.159999999999997</v>
      </c>
      <c r="N95" s="1" t="e">
        <f>"|"&amp;"PAGTO DOC - "&amp;F95&amp;"|"&amp;"DESP - "&amp;B95&amp;"|"&amp;"CENTRO CUSTO - "&amp;C95&amp;"|"&amp;I95&amp;"|"&amp;G95&amp;"|"&amp;#REF!&amp;"|"&amp;J95&amp;"|"&amp;H95&amp;"|"&amp;K95&amp;"|"&amp;L95&amp;"|"</f>
        <v>#REF!</v>
      </c>
      <c r="O95" s="1" t="str">
        <f t="shared" si="7"/>
        <v>31201003</v>
      </c>
    </row>
    <row r="96" spans="1:15" x14ac:dyDescent="0.3">
      <c r="A96">
        <v>101</v>
      </c>
      <c r="B96" s="66" t="s">
        <v>13</v>
      </c>
      <c r="C96" s="67" t="s">
        <v>351</v>
      </c>
      <c r="D96" s="68"/>
      <c r="E96" s="66" t="s">
        <v>13</v>
      </c>
      <c r="F96" s="51">
        <v>48.239999999999995</v>
      </c>
      <c r="G96" s="49"/>
      <c r="H96" s="49"/>
      <c r="I96" s="49"/>
      <c r="J96" s="49"/>
      <c r="K96" s="49" t="str">
        <f t="shared" si="5"/>
        <v>|PAGTO DOC - SEGURO DE VIDA EM GRUPO|PLANO DE SAUDE - SEGURO DE VIDA EM GRUPO|C CUSTO - 31112|TOTAL: 48,24|</v>
      </c>
      <c r="L96" s="49"/>
      <c r="M96" s="50">
        <f t="shared" si="6"/>
        <v>48.239999999999995</v>
      </c>
      <c r="N96" s="1" t="e">
        <f>"|"&amp;"PAGTO DOC - "&amp;F96&amp;"|"&amp;"DESP - "&amp;B96&amp;"|"&amp;"CENTRO CUSTO - "&amp;C96&amp;"|"&amp;I96&amp;"|"&amp;G96&amp;"|"&amp;#REF!&amp;"|"&amp;J96&amp;"|"&amp;H96&amp;"|"&amp;K96&amp;"|"&amp;L96&amp;"|"</f>
        <v>#REF!</v>
      </c>
      <c r="O96" s="1" t="str">
        <f t="shared" si="7"/>
        <v>31201003</v>
      </c>
    </row>
    <row r="97" spans="1:15" x14ac:dyDescent="0.3">
      <c r="A97">
        <v>101</v>
      </c>
      <c r="B97" s="66" t="s">
        <v>13</v>
      </c>
      <c r="C97" s="67" t="s">
        <v>364</v>
      </c>
      <c r="D97" s="68"/>
      <c r="E97" s="66" t="s">
        <v>13</v>
      </c>
      <c r="F97" s="51">
        <v>24.119999999999997</v>
      </c>
      <c r="G97" s="49"/>
      <c r="H97" s="49"/>
      <c r="I97" s="49"/>
      <c r="J97" s="49"/>
      <c r="K97" s="49" t="str">
        <f t="shared" si="5"/>
        <v>|PAGTO DOC - SEGURO DE VIDA EM GRUPO|PLANO DE SAUDE - SEGURO DE VIDA EM GRUPO|C CUSTO - 31113|TOTAL: 24,12|</v>
      </c>
      <c r="L97" s="49"/>
      <c r="M97" s="50">
        <f t="shared" si="6"/>
        <v>24.119999999999997</v>
      </c>
      <c r="N97" s="1" t="e">
        <f>"|"&amp;"PAGTO DOC - "&amp;F97&amp;"|"&amp;"DESP - "&amp;B97&amp;"|"&amp;"CENTRO CUSTO - "&amp;C97&amp;"|"&amp;I97&amp;"|"&amp;G97&amp;"|"&amp;#REF!&amp;"|"&amp;J97&amp;"|"&amp;H97&amp;"|"&amp;K97&amp;"|"&amp;L97&amp;"|"</f>
        <v>#REF!</v>
      </c>
      <c r="O97" s="1" t="str">
        <f t="shared" si="7"/>
        <v>31201003</v>
      </c>
    </row>
    <row r="98" spans="1:15" x14ac:dyDescent="0.3">
      <c r="A98">
        <v>101</v>
      </c>
      <c r="B98" s="66" t="s">
        <v>13</v>
      </c>
      <c r="C98" s="67" t="s">
        <v>352</v>
      </c>
      <c r="D98" s="68"/>
      <c r="E98" s="66" t="s">
        <v>13</v>
      </c>
      <c r="F98" s="51">
        <v>241.19999999999982</v>
      </c>
      <c r="G98" s="49"/>
      <c r="H98" s="49"/>
      <c r="I98" s="49"/>
      <c r="J98" s="49"/>
      <c r="K98" s="49" t="str">
        <f t="shared" si="5"/>
        <v>|PAGTO DOC - SEGURO DE VIDA EM GRUPO|PLANO DE SAUDE - SEGURO DE VIDA EM GRUPO|C CUSTO - 31114|TOTAL: 241,2|</v>
      </c>
      <c r="L98" s="49"/>
      <c r="M98" s="50">
        <f t="shared" si="6"/>
        <v>241.19999999999982</v>
      </c>
      <c r="N98" s="1" t="e">
        <f>"|"&amp;"PAGTO DOC - "&amp;F98&amp;"|"&amp;"DESP - "&amp;B98&amp;"|"&amp;"CENTRO CUSTO - "&amp;C98&amp;"|"&amp;I98&amp;"|"&amp;G98&amp;"|"&amp;#REF!&amp;"|"&amp;J98&amp;"|"&amp;H98&amp;"|"&amp;K98&amp;"|"&amp;L98&amp;"|"</f>
        <v>#REF!</v>
      </c>
      <c r="O98" s="1" t="str">
        <f t="shared" si="7"/>
        <v>31201003</v>
      </c>
    </row>
    <row r="99" spans="1:15" x14ac:dyDescent="0.3">
      <c r="A99">
        <v>101</v>
      </c>
      <c r="B99" s="66" t="s">
        <v>13</v>
      </c>
      <c r="C99" s="67" t="s">
        <v>406</v>
      </c>
      <c r="D99" s="68"/>
      <c r="E99" s="66" t="s">
        <v>13</v>
      </c>
      <c r="F99" s="51">
        <v>16.079999999999998</v>
      </c>
      <c r="G99" s="49"/>
      <c r="H99" s="49"/>
      <c r="I99" s="49"/>
      <c r="J99" s="49"/>
      <c r="K99" s="49" t="str">
        <f t="shared" si="5"/>
        <v>|PAGTO DOC - SEGURO DE VIDA EM GRUPO|PLANO DE SAUDE - SEGURO DE VIDA EM GRUPO|C CUSTO - 31115|TOTAL: 16,08|</v>
      </c>
      <c r="L99" s="49"/>
      <c r="M99" s="50">
        <f t="shared" si="6"/>
        <v>16.079999999999998</v>
      </c>
      <c r="N99" s="1" t="e">
        <f>"|"&amp;"PAGTO DOC - "&amp;F99&amp;"|"&amp;"DESP - "&amp;B99&amp;"|"&amp;"CENTRO CUSTO - "&amp;C99&amp;"|"&amp;I99&amp;"|"&amp;G99&amp;"|"&amp;#REF!&amp;"|"&amp;J99&amp;"|"&amp;H99&amp;"|"&amp;K99&amp;"|"&amp;L99&amp;"|"</f>
        <v>#REF!</v>
      </c>
      <c r="O99" s="1" t="str">
        <f t="shared" si="7"/>
        <v>31201003</v>
      </c>
    </row>
    <row r="100" spans="1:15" x14ac:dyDescent="0.3">
      <c r="A100">
        <v>101</v>
      </c>
      <c r="B100" s="66" t="s">
        <v>13</v>
      </c>
      <c r="C100" s="67" t="s">
        <v>353</v>
      </c>
      <c r="D100" s="68"/>
      <c r="E100" s="66" t="s">
        <v>13</v>
      </c>
      <c r="F100" s="51">
        <v>64.319999999999993</v>
      </c>
      <c r="G100" s="49"/>
      <c r="H100" s="49"/>
      <c r="I100" s="49"/>
      <c r="J100" s="49"/>
      <c r="K100" s="49" t="str">
        <f t="shared" si="5"/>
        <v>|PAGTO DOC - SEGURO DE VIDA EM GRUPO|PLANO DE SAUDE - SEGURO DE VIDA EM GRUPO|C CUSTO - 31116|TOTAL: 64,32|</v>
      </c>
      <c r="L100" s="49"/>
      <c r="M100" s="50">
        <f t="shared" si="6"/>
        <v>64.319999999999993</v>
      </c>
      <c r="N100" s="1" t="e">
        <f>"|"&amp;"PAGTO DOC - "&amp;F100&amp;"|"&amp;"DESP - "&amp;B100&amp;"|"&amp;"CENTRO CUSTO - "&amp;C100&amp;"|"&amp;I100&amp;"|"&amp;G100&amp;"|"&amp;#REF!&amp;"|"&amp;J100&amp;"|"&amp;H100&amp;"|"&amp;K100&amp;"|"&amp;L100&amp;"|"</f>
        <v>#REF!</v>
      </c>
      <c r="O100" s="1" t="str">
        <f t="shared" si="7"/>
        <v>31201003</v>
      </c>
    </row>
    <row r="101" spans="1:15" x14ac:dyDescent="0.3">
      <c r="A101">
        <v>101</v>
      </c>
      <c r="B101" s="66" t="s">
        <v>13</v>
      </c>
      <c r="C101" s="67" t="s">
        <v>354</v>
      </c>
      <c r="D101" s="68"/>
      <c r="E101" s="66" t="s">
        <v>13</v>
      </c>
      <c r="F101" s="51">
        <v>112.55999999999995</v>
      </c>
      <c r="G101" s="49"/>
      <c r="H101" s="49"/>
      <c r="I101" s="49"/>
      <c r="J101" s="49"/>
      <c r="K101" s="49" t="str">
        <f t="shared" si="5"/>
        <v>|PAGTO DOC - SEGURO DE VIDA EM GRUPO|PLANO DE SAUDE - SEGURO DE VIDA EM GRUPO|C CUSTO - 31200|TOTAL: 112,56|</v>
      </c>
      <c r="L101" s="49"/>
      <c r="M101" s="50">
        <f t="shared" si="6"/>
        <v>112.55999999999995</v>
      </c>
      <c r="N101" s="1" t="e">
        <f>"|"&amp;"PAGTO DOC - "&amp;F101&amp;"|"&amp;"DESP - "&amp;B101&amp;"|"&amp;"CENTRO CUSTO - "&amp;C101&amp;"|"&amp;I101&amp;"|"&amp;G101&amp;"|"&amp;#REF!&amp;"|"&amp;J101&amp;"|"&amp;H101&amp;"|"&amp;K101&amp;"|"&amp;L101&amp;"|"</f>
        <v>#REF!</v>
      </c>
      <c r="O101" s="1" t="str">
        <f t="shared" si="7"/>
        <v>31201003</v>
      </c>
    </row>
    <row r="102" spans="1:15" x14ac:dyDescent="0.3">
      <c r="A102">
        <v>101</v>
      </c>
      <c r="B102" s="66" t="s">
        <v>13</v>
      </c>
      <c r="C102" s="67" t="s">
        <v>407</v>
      </c>
      <c r="D102" s="68"/>
      <c r="E102" s="66" t="s">
        <v>13</v>
      </c>
      <c r="F102" s="51">
        <v>24.119999999999997</v>
      </c>
      <c r="G102" s="49"/>
      <c r="H102" s="49"/>
      <c r="I102" s="49"/>
      <c r="J102" s="49"/>
      <c r="K102" s="49" t="str">
        <f t="shared" si="5"/>
        <v>|PAGTO DOC - SEGURO DE VIDA EM GRUPO|PLANO DE SAUDE - SEGURO DE VIDA EM GRUPO|C CUSTO - 31300|TOTAL: 24,12|</v>
      </c>
      <c r="L102" s="49"/>
      <c r="M102" s="50">
        <f t="shared" si="6"/>
        <v>24.119999999999997</v>
      </c>
      <c r="N102" s="1" t="e">
        <f>"|"&amp;"PAGTO DOC - "&amp;F102&amp;"|"&amp;"DESP - "&amp;B102&amp;"|"&amp;"CENTRO CUSTO - "&amp;C102&amp;"|"&amp;I102&amp;"|"&amp;G102&amp;"|"&amp;#REF!&amp;"|"&amp;J102&amp;"|"&amp;H102&amp;"|"&amp;K102&amp;"|"&amp;L102&amp;"|"</f>
        <v>#REF!</v>
      </c>
      <c r="O102" s="1" t="str">
        <f t="shared" si="7"/>
        <v>31201003</v>
      </c>
    </row>
    <row r="103" spans="1:15" x14ac:dyDescent="0.3">
      <c r="A103">
        <v>101</v>
      </c>
      <c r="B103" s="66" t="s">
        <v>13</v>
      </c>
      <c r="C103" s="67" t="s">
        <v>355</v>
      </c>
      <c r="D103" s="68"/>
      <c r="E103" s="66" t="s">
        <v>13</v>
      </c>
      <c r="F103" s="51">
        <v>307.00000000000006</v>
      </c>
      <c r="G103" s="49"/>
      <c r="H103" s="49"/>
      <c r="I103" s="49"/>
      <c r="J103" s="49"/>
      <c r="K103" s="49" t="str">
        <f t="shared" si="5"/>
        <v>|PAGTO DOC - SEGURO DE VIDA EM GRUPO|PLANO DE SAUDE - SEGURO DE VIDA EM GRUPO|C CUSTO - 33010|TOTAL: 307|</v>
      </c>
      <c r="L103" s="49"/>
      <c r="M103" s="50">
        <f t="shared" si="6"/>
        <v>307.00000000000006</v>
      </c>
      <c r="N103" s="1" t="e">
        <f>"|"&amp;"PAGTO DOC - "&amp;F103&amp;"|"&amp;"DESP - "&amp;B103&amp;"|"&amp;"CENTRO CUSTO - "&amp;C103&amp;"|"&amp;I103&amp;"|"&amp;G103&amp;"|"&amp;#REF!&amp;"|"&amp;J103&amp;"|"&amp;H103&amp;"|"&amp;K103&amp;"|"&amp;L103&amp;"|"</f>
        <v>#REF!</v>
      </c>
      <c r="O103" s="1" t="str">
        <f t="shared" si="7"/>
        <v>31201003</v>
      </c>
    </row>
    <row r="104" spans="1:15" x14ac:dyDescent="0.3">
      <c r="A104">
        <v>101</v>
      </c>
      <c r="B104" s="66" t="s">
        <v>13</v>
      </c>
      <c r="C104" s="67" t="s">
        <v>408</v>
      </c>
      <c r="D104" s="68"/>
      <c r="E104" s="66" t="s">
        <v>13</v>
      </c>
      <c r="F104" s="51">
        <v>56.279999999999994</v>
      </c>
      <c r="G104" s="49"/>
      <c r="H104" s="49"/>
      <c r="I104" s="49"/>
      <c r="J104" s="49"/>
      <c r="K104" s="49" t="str">
        <f t="shared" si="5"/>
        <v>|PAGTO DOC - SEGURO DE VIDA EM GRUPO|PLANO DE SAUDE - SEGURO DE VIDA EM GRUPO|C CUSTO - 33040|TOTAL: 56,28|</v>
      </c>
      <c r="L104" s="49"/>
      <c r="M104" s="50">
        <f t="shared" si="6"/>
        <v>56.279999999999994</v>
      </c>
      <c r="N104" s="1" t="e">
        <f>"|"&amp;"PAGTO DOC - "&amp;F104&amp;"|"&amp;"DESP - "&amp;B104&amp;"|"&amp;"CENTRO CUSTO - "&amp;C104&amp;"|"&amp;I104&amp;"|"&amp;G104&amp;"|"&amp;#REF!&amp;"|"&amp;J104&amp;"|"&amp;H104&amp;"|"&amp;K104&amp;"|"&amp;L104&amp;"|"</f>
        <v>#REF!</v>
      </c>
      <c r="O104" s="1" t="str">
        <f t="shared" si="7"/>
        <v>31201003</v>
      </c>
    </row>
    <row r="105" spans="1:15" x14ac:dyDescent="0.3">
      <c r="A105">
        <v>101</v>
      </c>
      <c r="B105" s="66" t="s">
        <v>13</v>
      </c>
      <c r="C105" s="67" t="s">
        <v>356</v>
      </c>
      <c r="D105" s="68"/>
      <c r="E105" s="66" t="s">
        <v>13</v>
      </c>
      <c r="F105" s="51">
        <v>104.51999999999995</v>
      </c>
      <c r="G105" s="49"/>
      <c r="H105" s="49"/>
      <c r="I105" s="49"/>
      <c r="J105" s="49"/>
      <c r="K105" s="49" t="str">
        <f t="shared" si="5"/>
        <v>|PAGTO DOC - SEGURO DE VIDA EM GRUPO|PLANO DE SAUDE - SEGURO DE VIDA EM GRUPO|C CUSTO - 33050|TOTAL: 104,52|</v>
      </c>
      <c r="L105" s="49"/>
      <c r="M105" s="50">
        <f t="shared" si="6"/>
        <v>104.51999999999995</v>
      </c>
      <c r="N105" s="1" t="e">
        <f>"|"&amp;"PAGTO DOC - "&amp;F105&amp;"|"&amp;"DESP - "&amp;B105&amp;"|"&amp;"CENTRO CUSTO - "&amp;C105&amp;"|"&amp;I105&amp;"|"&amp;G105&amp;"|"&amp;#REF!&amp;"|"&amp;J105&amp;"|"&amp;H105&amp;"|"&amp;K105&amp;"|"&amp;L105&amp;"|"</f>
        <v>#REF!</v>
      </c>
      <c r="O105" s="1" t="str">
        <f t="shared" si="7"/>
        <v>31201003</v>
      </c>
    </row>
    <row r="106" spans="1:15" x14ac:dyDescent="0.3">
      <c r="A106">
        <v>101</v>
      </c>
      <c r="B106" s="66" t="s">
        <v>13</v>
      </c>
      <c r="C106" s="67" t="s">
        <v>357</v>
      </c>
      <c r="D106" s="68"/>
      <c r="E106" s="66" t="s">
        <v>13</v>
      </c>
      <c r="F106" s="51">
        <v>80.399999999999977</v>
      </c>
      <c r="G106" s="49"/>
      <c r="H106" s="49"/>
      <c r="I106" s="49"/>
      <c r="J106" s="49"/>
      <c r="K106" s="49" t="str">
        <f t="shared" si="5"/>
        <v>|PAGTO DOC - SEGURO DE VIDA EM GRUPO|PLANO DE SAUDE - SEGURO DE VIDA EM GRUPO|C CUSTO - 33060|TOTAL: 80,4|</v>
      </c>
      <c r="L106" s="49"/>
      <c r="M106" s="50">
        <f t="shared" si="6"/>
        <v>80.399999999999977</v>
      </c>
      <c r="N106" s="1" t="e">
        <f>"|"&amp;"PAGTO DOC - "&amp;F106&amp;"|"&amp;"DESP - "&amp;B106&amp;"|"&amp;"CENTRO CUSTO - "&amp;C106&amp;"|"&amp;I106&amp;"|"&amp;G106&amp;"|"&amp;#REF!&amp;"|"&amp;J106&amp;"|"&amp;H106&amp;"|"&amp;K106&amp;"|"&amp;L106&amp;"|"</f>
        <v>#REF!</v>
      </c>
      <c r="O106" s="1" t="str">
        <f t="shared" si="7"/>
        <v>31201003</v>
      </c>
    </row>
    <row r="107" spans="1:15" x14ac:dyDescent="0.3">
      <c r="A107">
        <v>101</v>
      </c>
      <c r="B107" s="66" t="s">
        <v>13</v>
      </c>
      <c r="C107" s="67" t="s">
        <v>409</v>
      </c>
      <c r="D107" s="68"/>
      <c r="E107" s="66" t="s">
        <v>13</v>
      </c>
      <c r="F107" s="51">
        <v>16.079999999999998</v>
      </c>
      <c r="G107" s="49"/>
      <c r="H107" s="49"/>
      <c r="I107" s="49"/>
      <c r="J107" s="49"/>
      <c r="K107" s="49" t="str">
        <f t="shared" ref="K107:K108" si="8">"|"&amp;"PAGTO DOC - "&amp;E107&amp;"|"&amp;"PLANO DE SAUDE - "&amp;B107&amp;"|"&amp;"C CUSTO - "&amp;LEFT(C107,5)&amp;"|"&amp;"TOTAL: "&amp;F107&amp;"|"</f>
        <v>|PAGTO DOC - SEGURO DE VIDA EM GRUPO|PLANO DE SAUDE - SEGURO DE VIDA EM GRUPO|C CUSTO - 55030|TOTAL: 16,08|</v>
      </c>
      <c r="L107" s="49"/>
      <c r="M107" s="50">
        <f t="shared" ref="M107:M108" si="9">SUM(F107:L107)</f>
        <v>16.079999999999998</v>
      </c>
      <c r="N107" s="1"/>
      <c r="O107" s="1" t="str">
        <f t="shared" si="7"/>
        <v>31201003</v>
      </c>
    </row>
    <row r="108" spans="1:15" x14ac:dyDescent="0.3">
      <c r="A108">
        <v>101</v>
      </c>
      <c r="B108" s="66" t="s">
        <v>13</v>
      </c>
      <c r="C108" s="67">
        <v>31090</v>
      </c>
      <c r="D108" s="68"/>
      <c r="E108" s="66" t="s">
        <v>13</v>
      </c>
      <c r="F108" s="51">
        <v>8.0399999999999991</v>
      </c>
      <c r="G108" s="49"/>
      <c r="H108" s="49"/>
      <c r="I108" s="49"/>
      <c r="J108" s="49"/>
      <c r="K108" s="49" t="str">
        <f t="shared" si="8"/>
        <v>|PAGTO DOC - SEGURO DE VIDA EM GRUPO|PLANO DE SAUDE - SEGURO DE VIDA EM GRUPO|C CUSTO - 31090|TOTAL: 8,04|</v>
      </c>
      <c r="L108" s="49"/>
      <c r="M108" s="50">
        <f t="shared" si="9"/>
        <v>8.0399999999999991</v>
      </c>
      <c r="N108" s="1"/>
      <c r="O108" s="1" t="str">
        <f t="shared" si="7"/>
        <v>31201003</v>
      </c>
    </row>
    <row r="109" spans="1:15" x14ac:dyDescent="0.3">
      <c r="A109">
        <v>101</v>
      </c>
      <c r="B109" s="66" t="s">
        <v>13</v>
      </c>
      <c r="C109" s="67">
        <v>31116</v>
      </c>
      <c r="D109" s="68"/>
      <c r="E109" s="66" t="s">
        <v>13</v>
      </c>
      <c r="F109" s="51">
        <v>16.079999999999998</v>
      </c>
      <c r="G109" s="49"/>
      <c r="H109" s="49"/>
      <c r="I109" s="49"/>
      <c r="J109" s="49"/>
      <c r="K109" s="49" t="str">
        <f t="shared" si="5"/>
        <v>|PAGTO DOC - SEGURO DE VIDA EM GRUPO|PLANO DE SAUDE - SEGURO DE VIDA EM GRUPO|C CUSTO - 31116|TOTAL: 16,08|</v>
      </c>
      <c r="L109" s="49"/>
      <c r="M109" s="50">
        <f t="shared" si="6"/>
        <v>16.079999999999998</v>
      </c>
      <c r="N109" s="1" t="e">
        <f>"|"&amp;"PAGTO DOC - "&amp;F109&amp;"|"&amp;"DESP - "&amp;B109&amp;"|"&amp;"CENTRO CUSTO - "&amp;C109&amp;"|"&amp;I109&amp;"|"&amp;G109&amp;"|"&amp;#REF!&amp;"|"&amp;J109&amp;"|"&amp;H109&amp;"|"&amp;K109&amp;"|"&amp;L109&amp;"|"</f>
        <v>#REF!</v>
      </c>
      <c r="O109" s="1" t="str">
        <f t="shared" si="7"/>
        <v>31201003</v>
      </c>
    </row>
    <row r="110" spans="1:15" x14ac:dyDescent="0.3">
      <c r="A110">
        <v>101</v>
      </c>
      <c r="B110" s="66" t="s">
        <v>13</v>
      </c>
      <c r="C110" s="67">
        <v>33050</v>
      </c>
      <c r="D110" s="68"/>
      <c r="E110" s="66" t="s">
        <v>13</v>
      </c>
      <c r="F110" s="51">
        <v>16.079999999999998</v>
      </c>
      <c r="G110" s="49"/>
      <c r="H110" s="49"/>
      <c r="I110" s="49"/>
      <c r="J110" s="49"/>
      <c r="K110" s="49" t="str">
        <f t="shared" si="5"/>
        <v>|PAGTO DOC - SEGURO DE VIDA EM GRUPO|PLANO DE SAUDE - SEGURO DE VIDA EM GRUPO|C CUSTO - 33050|TOTAL: 16,08|</v>
      </c>
      <c r="L110" s="49"/>
      <c r="M110" s="50">
        <f t="shared" si="6"/>
        <v>16.079999999999998</v>
      </c>
      <c r="N110" s="1" t="e">
        <f>"|"&amp;"PAGTO DOC - "&amp;F110&amp;"|"&amp;"DESP - "&amp;B110&amp;"|"&amp;"CENTRO CUSTO - "&amp;C110&amp;"|"&amp;I110&amp;"|"&amp;G110&amp;"|"&amp;#REF!&amp;"|"&amp;J110&amp;"|"&amp;H110&amp;"|"&amp;K110&amp;"|"&amp;L110&amp;"|"</f>
        <v>#REF!</v>
      </c>
      <c r="O110" s="1" t="str">
        <f t="shared" si="7"/>
        <v>31201003</v>
      </c>
    </row>
    <row r="111" spans="1:15" x14ac:dyDescent="0.3">
      <c r="A111">
        <v>101</v>
      </c>
      <c r="B111" s="66" t="s">
        <v>13</v>
      </c>
      <c r="C111" s="67">
        <v>14012</v>
      </c>
      <c r="D111" s="68"/>
      <c r="E111" s="66" t="s">
        <v>13</v>
      </c>
      <c r="F111" s="51">
        <v>16.079999999999998</v>
      </c>
      <c r="G111" s="49"/>
      <c r="H111" s="49"/>
      <c r="I111" s="49"/>
      <c r="J111" s="49"/>
      <c r="K111" s="49" t="str">
        <f t="shared" si="5"/>
        <v>|PAGTO DOC - SEGURO DE VIDA EM GRUPO|PLANO DE SAUDE - SEGURO DE VIDA EM GRUPO|C CUSTO - 14012|TOTAL: 16,08|</v>
      </c>
      <c r="L111" s="49"/>
      <c r="M111" s="50">
        <f t="shared" si="6"/>
        <v>16.079999999999998</v>
      </c>
      <c r="N111" s="1" t="e">
        <f>"|"&amp;"PAGTO DOC - "&amp;F111&amp;"|"&amp;"DESP - "&amp;B111&amp;"|"&amp;"CENTRO CUSTO - "&amp;C111&amp;"|"&amp;I111&amp;"|"&amp;G111&amp;"|"&amp;#REF!&amp;"|"&amp;J111&amp;"|"&amp;H111&amp;"|"&amp;K111&amp;"|"&amp;L111&amp;"|"</f>
        <v>#REF!</v>
      </c>
      <c r="O111" s="1" t="str">
        <f t="shared" si="7"/>
        <v>31201003</v>
      </c>
    </row>
    <row r="112" spans="1:15" x14ac:dyDescent="0.3">
      <c r="A112">
        <v>101</v>
      </c>
      <c r="B112" s="66" t="s">
        <v>13</v>
      </c>
      <c r="C112" s="67">
        <v>21012</v>
      </c>
      <c r="D112" s="68"/>
      <c r="E112" s="66" t="s">
        <v>13</v>
      </c>
      <c r="F112" s="51">
        <v>8.0399999999999991</v>
      </c>
      <c r="G112" s="49"/>
      <c r="H112" s="49"/>
      <c r="I112" s="49"/>
      <c r="J112" s="49"/>
      <c r="K112" s="49" t="str">
        <f t="shared" si="5"/>
        <v>|PAGTO DOC - SEGURO DE VIDA EM GRUPO|PLANO DE SAUDE - SEGURO DE VIDA EM GRUPO|C CUSTO - 21012|TOTAL: 8,04|</v>
      </c>
      <c r="L112" s="49"/>
      <c r="M112" s="50">
        <f t="shared" si="6"/>
        <v>8.0399999999999991</v>
      </c>
      <c r="N112" s="1" t="e">
        <f>"|"&amp;"PAGTO DOC - "&amp;F112&amp;"|"&amp;"DESP - "&amp;B112&amp;"|"&amp;"CENTRO CUSTO - "&amp;C112&amp;"|"&amp;I112&amp;"|"&amp;G112&amp;"|"&amp;#REF!&amp;"|"&amp;J112&amp;"|"&amp;H112&amp;"|"&amp;K112&amp;"|"&amp;L112&amp;"|"</f>
        <v>#REF!</v>
      </c>
      <c r="O112" s="1" t="str">
        <f t="shared" si="7"/>
        <v>31201003</v>
      </c>
    </row>
    <row r="113" spans="1:15" x14ac:dyDescent="0.3">
      <c r="A113">
        <v>101</v>
      </c>
      <c r="B113" s="66" t="s">
        <v>13</v>
      </c>
      <c r="C113" s="67">
        <v>13016</v>
      </c>
      <c r="D113" s="68"/>
      <c r="E113" s="66" t="s">
        <v>13</v>
      </c>
      <c r="F113" s="51">
        <v>8.0399999999999991</v>
      </c>
      <c r="G113" s="49"/>
      <c r="H113" s="49"/>
      <c r="I113" s="49"/>
      <c r="J113" s="49"/>
      <c r="K113" s="49" t="str">
        <f t="shared" si="5"/>
        <v>|PAGTO DOC - SEGURO DE VIDA EM GRUPO|PLANO DE SAUDE - SEGURO DE VIDA EM GRUPO|C CUSTO - 13016|TOTAL: 8,04|</v>
      </c>
      <c r="L113" s="49"/>
      <c r="M113" s="50">
        <f t="shared" si="6"/>
        <v>8.0399999999999991</v>
      </c>
      <c r="N113" s="1" t="e">
        <f>"|"&amp;"PAGTO DOC - "&amp;F113&amp;"|"&amp;"DESP - "&amp;B113&amp;"|"&amp;"CENTRO CUSTO - "&amp;C113&amp;"|"&amp;I113&amp;"|"&amp;G113&amp;"|"&amp;#REF!&amp;"|"&amp;J113&amp;"|"&amp;H113&amp;"|"&amp;K113&amp;"|"&amp;L113&amp;"|"</f>
        <v>#REF!</v>
      </c>
      <c r="O113" s="1" t="str">
        <f t="shared" si="7"/>
        <v>31201003</v>
      </c>
    </row>
    <row r="114" spans="1:15" x14ac:dyDescent="0.3">
      <c r="A114">
        <v>101</v>
      </c>
      <c r="B114" s="66" t="s">
        <v>13</v>
      </c>
      <c r="C114" s="67">
        <v>13021</v>
      </c>
      <c r="D114" s="68"/>
      <c r="E114" s="66" t="s">
        <v>13</v>
      </c>
      <c r="F114" s="51">
        <v>8.0399999999999991</v>
      </c>
      <c r="G114" s="49"/>
      <c r="H114" s="49"/>
      <c r="I114" s="49"/>
      <c r="J114" s="49"/>
      <c r="K114" s="49" t="str">
        <f t="shared" si="5"/>
        <v>|PAGTO DOC - SEGURO DE VIDA EM GRUPO|PLANO DE SAUDE - SEGURO DE VIDA EM GRUPO|C CUSTO - 13021|TOTAL: 8,04|</v>
      </c>
      <c r="L114" s="49"/>
      <c r="M114" s="50">
        <f t="shared" si="6"/>
        <v>8.0399999999999991</v>
      </c>
      <c r="N114" s="1" t="e">
        <f>"|"&amp;"PAGTO DOC - "&amp;F114&amp;"|"&amp;"DESP - "&amp;B114&amp;"|"&amp;"CENTRO CUSTO - "&amp;C114&amp;"|"&amp;I114&amp;"|"&amp;G114&amp;"|"&amp;#REF!&amp;"|"&amp;J114&amp;"|"&amp;H114&amp;"|"&amp;K114&amp;"|"&amp;L114&amp;"|"</f>
        <v>#REF!</v>
      </c>
      <c r="O114" s="1" t="str">
        <f t="shared" si="7"/>
        <v>31201003</v>
      </c>
    </row>
    <row r="115" spans="1:15" x14ac:dyDescent="0.3">
      <c r="A115">
        <v>101</v>
      </c>
      <c r="B115" s="66" t="s">
        <v>13</v>
      </c>
      <c r="C115" s="67">
        <v>21011</v>
      </c>
      <c r="D115" s="68"/>
      <c r="E115" s="66" t="s">
        <v>13</v>
      </c>
      <c r="F115" s="51">
        <v>8.0399999999999991</v>
      </c>
      <c r="G115" s="49"/>
      <c r="H115" s="49"/>
      <c r="I115" s="49"/>
      <c r="J115" s="49"/>
      <c r="K115" s="49" t="str">
        <f t="shared" si="5"/>
        <v>|PAGTO DOC - SEGURO DE VIDA EM GRUPO|PLANO DE SAUDE - SEGURO DE VIDA EM GRUPO|C CUSTO - 21011|TOTAL: 8,04|</v>
      </c>
      <c r="L115" s="49"/>
      <c r="M115" s="50">
        <f t="shared" si="6"/>
        <v>8.0399999999999991</v>
      </c>
      <c r="N115" s="1" t="e">
        <f>"|"&amp;"PAGTO DOC - "&amp;F115&amp;"|"&amp;"DESP - "&amp;B115&amp;"|"&amp;"CENTRO CUSTO - "&amp;C115&amp;"|"&amp;I115&amp;"|"&amp;G115&amp;"|"&amp;#REF!&amp;"|"&amp;J115&amp;"|"&amp;H115&amp;"|"&amp;K115&amp;"|"&amp;L115&amp;"|"</f>
        <v>#REF!</v>
      </c>
      <c r="O115" s="1" t="str">
        <f t="shared" si="7"/>
        <v>31201003</v>
      </c>
    </row>
    <row r="116" spans="1:15" x14ac:dyDescent="0.3">
      <c r="A116">
        <v>101</v>
      </c>
      <c r="B116" s="66" t="s">
        <v>13</v>
      </c>
      <c r="C116" s="67">
        <v>33010</v>
      </c>
      <c r="D116" s="68"/>
      <c r="E116" s="66" t="s">
        <v>13</v>
      </c>
      <c r="F116" s="51">
        <v>8.0399999999999991</v>
      </c>
      <c r="G116" s="49"/>
      <c r="H116" s="49"/>
      <c r="I116" s="49"/>
      <c r="J116" s="49"/>
      <c r="K116" s="49" t="str">
        <f t="shared" si="5"/>
        <v>|PAGTO DOC - SEGURO DE VIDA EM GRUPO|PLANO DE SAUDE - SEGURO DE VIDA EM GRUPO|C CUSTO - 33010|TOTAL: 8,04|</v>
      </c>
      <c r="L116" s="49"/>
      <c r="M116" s="50">
        <f t="shared" si="6"/>
        <v>8.0399999999999991</v>
      </c>
      <c r="N116" s="1" t="e">
        <f>"|"&amp;"PAGTO DOC - "&amp;F116&amp;"|"&amp;"DESP - "&amp;B116&amp;"|"&amp;"CENTRO CUSTO - "&amp;C116&amp;"|"&amp;I116&amp;"|"&amp;G116&amp;"|"&amp;#REF!&amp;"|"&amp;J116&amp;"|"&amp;H116&amp;"|"&amp;K116&amp;"|"&amp;L116&amp;"|"</f>
        <v>#REF!</v>
      </c>
      <c r="O116" s="1" t="str">
        <f t="shared" si="7"/>
        <v>31201003</v>
      </c>
    </row>
    <row r="117" spans="1:15" x14ac:dyDescent="0.3">
      <c r="A117">
        <v>101</v>
      </c>
      <c r="B117" s="66" t="s">
        <v>14</v>
      </c>
      <c r="C117" s="67">
        <v>13014</v>
      </c>
      <c r="D117" s="68"/>
      <c r="E117" s="66" t="s">
        <v>14</v>
      </c>
      <c r="F117" s="51">
        <v>2502.52</v>
      </c>
      <c r="G117" s="49"/>
      <c r="H117" s="49"/>
      <c r="I117" s="49"/>
      <c r="J117" s="49"/>
      <c r="K117" s="49" t="str">
        <f t="shared" si="5"/>
        <v>|PAGTO DOC - SEGURO SAÚDE|PLANO DE SAUDE - SEGURO SAÚDE|C CUSTO - 13014|TOTAL: 2502,52|</v>
      </c>
      <c r="L117" s="49"/>
      <c r="M117" s="50">
        <f t="shared" si="6"/>
        <v>2502.52</v>
      </c>
      <c r="N117" s="1" t="e">
        <f>"|"&amp;"PAGTO DOC - "&amp;F117&amp;"|"&amp;"DESP - "&amp;B117&amp;"|"&amp;"CENTRO CUSTO - "&amp;C117&amp;"|"&amp;I117&amp;"|"&amp;G117&amp;"|"&amp;#REF!&amp;"|"&amp;J117&amp;"|"&amp;H117&amp;"|"&amp;K117&amp;"|"&amp;L117&amp;"|"</f>
        <v>#REF!</v>
      </c>
      <c r="O117" s="1" t="str">
        <f t="shared" si="7"/>
        <v>31201005</v>
      </c>
    </row>
    <row r="118" spans="1:15" x14ac:dyDescent="0.3">
      <c r="A118">
        <v>101</v>
      </c>
      <c r="B118" s="66" t="s">
        <v>14</v>
      </c>
      <c r="C118" s="67">
        <v>14050</v>
      </c>
      <c r="D118" s="68"/>
      <c r="E118" s="66" t="s">
        <v>14</v>
      </c>
      <c r="F118" s="51">
        <v>1238.55</v>
      </c>
      <c r="G118" s="49"/>
      <c r="H118" s="49"/>
      <c r="I118" s="49"/>
      <c r="J118" s="49"/>
      <c r="K118" s="49" t="str">
        <f t="shared" si="5"/>
        <v>|PAGTO DOC - SEGURO SAÚDE|PLANO DE SAUDE - SEGURO SAÚDE|C CUSTO - 14050|TOTAL: 1238,55|</v>
      </c>
      <c r="L118" s="49"/>
      <c r="M118" s="50">
        <f t="shared" si="6"/>
        <v>1238.55</v>
      </c>
      <c r="N118" s="1" t="e">
        <f>"|"&amp;"PAGTO DOC - "&amp;F118&amp;"|"&amp;"DESP - "&amp;B118&amp;"|"&amp;"CENTRO CUSTO - "&amp;C118&amp;"|"&amp;I118&amp;"|"&amp;G118&amp;"|"&amp;#REF!&amp;"|"&amp;J118&amp;"|"&amp;H118&amp;"|"&amp;K118&amp;"|"&amp;L118&amp;"|"</f>
        <v>#REF!</v>
      </c>
      <c r="O118" s="1" t="str">
        <f t="shared" si="7"/>
        <v>31201005</v>
      </c>
    </row>
    <row r="119" spans="1:15" x14ac:dyDescent="0.3">
      <c r="A119">
        <v>101</v>
      </c>
      <c r="B119" s="66" t="s">
        <v>14</v>
      </c>
      <c r="C119" s="67">
        <v>15012</v>
      </c>
      <c r="D119" s="68"/>
      <c r="E119" s="66" t="s">
        <v>14</v>
      </c>
      <c r="F119" s="51">
        <v>2502.52</v>
      </c>
      <c r="G119" s="49"/>
      <c r="H119" s="49"/>
      <c r="I119" s="49"/>
      <c r="J119" s="49"/>
      <c r="K119" s="49" t="str">
        <f t="shared" si="5"/>
        <v>|PAGTO DOC - SEGURO SAÚDE|PLANO DE SAUDE - SEGURO SAÚDE|C CUSTO - 15012|TOTAL: 2502,52|</v>
      </c>
      <c r="L119" s="49"/>
      <c r="M119" s="50">
        <f t="shared" si="6"/>
        <v>2502.52</v>
      </c>
      <c r="N119" s="1" t="e">
        <f>"|"&amp;"PAGTO DOC - "&amp;F119&amp;"|"&amp;"DESP - "&amp;B119&amp;"|"&amp;"CENTRO CUSTO - "&amp;C119&amp;"|"&amp;I119&amp;"|"&amp;G119&amp;"|"&amp;#REF!&amp;"|"&amp;J119&amp;"|"&amp;H119&amp;"|"&amp;K119&amp;"|"&amp;L119&amp;"|"</f>
        <v>#REF!</v>
      </c>
      <c r="O119" s="1" t="str">
        <f t="shared" si="7"/>
        <v>31201005</v>
      </c>
    </row>
    <row r="120" spans="1:15" x14ac:dyDescent="0.3">
      <c r="A120">
        <v>101</v>
      </c>
      <c r="B120" s="66" t="s">
        <v>14</v>
      </c>
      <c r="C120" s="67">
        <v>15056</v>
      </c>
      <c r="D120" s="68"/>
      <c r="E120" s="66" t="s">
        <v>14</v>
      </c>
      <c r="F120" s="51">
        <v>1238.5500000000002</v>
      </c>
      <c r="G120" s="49"/>
      <c r="H120" s="49"/>
      <c r="I120" s="49"/>
      <c r="J120" s="49"/>
      <c r="K120" s="49" t="str">
        <f t="shared" si="5"/>
        <v>|PAGTO DOC - SEGURO SAÚDE|PLANO DE SAUDE - SEGURO SAÚDE|C CUSTO - 15056|TOTAL: 1238,55|</v>
      </c>
      <c r="L120" s="49"/>
      <c r="M120" s="50">
        <f t="shared" si="6"/>
        <v>1238.5500000000002</v>
      </c>
      <c r="N120" s="1" t="e">
        <f>"|"&amp;"PAGTO DOC - "&amp;F120&amp;"|"&amp;"DESP - "&amp;B120&amp;"|"&amp;"CENTRO CUSTO - "&amp;C120&amp;"|"&amp;I120&amp;"|"&amp;G120&amp;"|"&amp;#REF!&amp;"|"&amp;J120&amp;"|"&amp;H120&amp;"|"&amp;K120&amp;"|"&amp;L120&amp;"|"</f>
        <v>#REF!</v>
      </c>
      <c r="O120" s="1" t="str">
        <f t="shared" si="7"/>
        <v>31201005</v>
      </c>
    </row>
    <row r="121" spans="1:15" x14ac:dyDescent="0.3">
      <c r="A121">
        <v>101</v>
      </c>
      <c r="B121" s="66" t="s">
        <v>14</v>
      </c>
      <c r="C121" s="67" t="s">
        <v>358</v>
      </c>
      <c r="D121" s="68"/>
      <c r="E121" s="66" t="s">
        <v>14</v>
      </c>
      <c r="F121" s="51">
        <v>33358.46</v>
      </c>
      <c r="G121" s="49"/>
      <c r="H121" s="49"/>
      <c r="I121" s="49"/>
      <c r="J121" s="49"/>
      <c r="K121" s="49" t="str">
        <f t="shared" si="5"/>
        <v>|PAGTO DOC - SEGURO SAÚDE|PLANO DE SAUDE - SEGURO SAÚDE|C CUSTO - 11011|TOTAL: 33358,46|</v>
      </c>
      <c r="L121" s="49"/>
      <c r="M121" s="50">
        <f t="shared" si="6"/>
        <v>33358.46</v>
      </c>
      <c r="N121" s="1" t="e">
        <f>"|"&amp;"PAGTO DOC - "&amp;F121&amp;"|"&amp;"DESP - "&amp;B121&amp;"|"&amp;"CENTRO CUSTO - "&amp;C121&amp;"|"&amp;I121&amp;"|"&amp;G121&amp;"|"&amp;#REF!&amp;"|"&amp;J121&amp;"|"&amp;H121&amp;"|"&amp;K121&amp;"|"&amp;L121&amp;"|"</f>
        <v>#REF!</v>
      </c>
      <c r="O121" s="1" t="str">
        <f t="shared" si="7"/>
        <v>31201005</v>
      </c>
    </row>
    <row r="122" spans="1:15" x14ac:dyDescent="0.3">
      <c r="A122">
        <v>101</v>
      </c>
      <c r="B122" s="66" t="s">
        <v>14</v>
      </c>
      <c r="C122" s="67" t="s">
        <v>332</v>
      </c>
      <c r="D122" s="68"/>
      <c r="E122" s="66" t="s">
        <v>14</v>
      </c>
      <c r="F122" s="51">
        <v>15015.119999999999</v>
      </c>
      <c r="G122" s="49"/>
      <c r="H122" s="49"/>
      <c r="I122" s="49"/>
      <c r="J122" s="49"/>
      <c r="K122" s="49" t="str">
        <f t="shared" si="5"/>
        <v>|PAGTO DOC - SEGURO SAÚDE|PLANO DE SAUDE - SEGURO SAÚDE|C CUSTO - 11012|TOTAL: 15015,12|</v>
      </c>
      <c r="L122" s="49"/>
      <c r="M122" s="50">
        <f t="shared" si="6"/>
        <v>15015.119999999999</v>
      </c>
      <c r="N122" s="1" t="e">
        <f>"|"&amp;"PAGTO DOC - "&amp;F122&amp;"|"&amp;"DESP - "&amp;B122&amp;"|"&amp;"CENTRO CUSTO - "&amp;C122&amp;"|"&amp;I122&amp;"|"&amp;G122&amp;"|"&amp;#REF!&amp;"|"&amp;J122&amp;"|"&amp;H122&amp;"|"&amp;K122&amp;"|"&amp;L122&amp;"|"</f>
        <v>#REF!</v>
      </c>
      <c r="O122" s="1" t="str">
        <f t="shared" si="7"/>
        <v>31201005</v>
      </c>
    </row>
    <row r="123" spans="1:15" x14ac:dyDescent="0.3">
      <c r="A123">
        <v>101</v>
      </c>
      <c r="B123" s="66" t="s">
        <v>14</v>
      </c>
      <c r="C123" s="67" t="s">
        <v>359</v>
      </c>
      <c r="D123" s="68"/>
      <c r="E123" s="66" t="s">
        <v>14</v>
      </c>
      <c r="F123" s="51">
        <v>7507.5599999999995</v>
      </c>
      <c r="G123" s="49"/>
      <c r="H123" s="49"/>
      <c r="I123" s="49"/>
      <c r="J123" s="49"/>
      <c r="K123" s="49" t="str">
        <f t="shared" si="5"/>
        <v>|PAGTO DOC - SEGURO SAÚDE|PLANO DE SAUDE - SEGURO SAÚDE|C CUSTO - 11013|TOTAL: 7507,56|</v>
      </c>
      <c r="L123" s="49"/>
      <c r="M123" s="50">
        <f t="shared" si="6"/>
        <v>7507.5599999999995</v>
      </c>
      <c r="N123" s="1" t="e">
        <f>"|"&amp;"PAGTO DOC - "&amp;F123&amp;"|"&amp;"DESP - "&amp;B123&amp;"|"&amp;"CENTRO CUSTO - "&amp;C123&amp;"|"&amp;I123&amp;"|"&amp;G123&amp;"|"&amp;#REF!&amp;"|"&amp;J123&amp;"|"&amp;H123&amp;"|"&amp;K123&amp;"|"&amp;L123&amp;"|"</f>
        <v>#REF!</v>
      </c>
      <c r="O123" s="1" t="str">
        <f t="shared" si="7"/>
        <v>31201005</v>
      </c>
    </row>
    <row r="124" spans="1:15" x14ac:dyDescent="0.3">
      <c r="A124">
        <v>101</v>
      </c>
      <c r="B124" s="66" t="s">
        <v>14</v>
      </c>
      <c r="C124" s="67" t="s">
        <v>335</v>
      </c>
      <c r="D124" s="68"/>
      <c r="E124" s="66" t="s">
        <v>14</v>
      </c>
      <c r="F124" s="51">
        <v>5005.04</v>
      </c>
      <c r="G124" s="49"/>
      <c r="H124" s="49"/>
      <c r="I124" s="49"/>
      <c r="J124" s="49"/>
      <c r="K124" s="49" t="str">
        <f t="shared" si="5"/>
        <v>|PAGTO DOC - SEGURO SAÚDE|PLANO DE SAUDE - SEGURO SAÚDE|C CUSTO - 13013|TOTAL: 5005,04|</v>
      </c>
      <c r="L124" s="49"/>
      <c r="M124" s="50">
        <f t="shared" si="6"/>
        <v>5005.04</v>
      </c>
      <c r="N124" s="1" t="e">
        <f>"|"&amp;"PAGTO DOC - "&amp;F124&amp;"|"&amp;"DESP - "&amp;B124&amp;"|"&amp;"CENTRO CUSTO - "&amp;C124&amp;"|"&amp;I124&amp;"|"&amp;G124&amp;"|"&amp;#REF!&amp;"|"&amp;J124&amp;"|"&amp;H124&amp;"|"&amp;K124&amp;"|"&amp;L124&amp;"|"</f>
        <v>#REF!</v>
      </c>
      <c r="O124" s="1" t="str">
        <f t="shared" si="7"/>
        <v>31201005</v>
      </c>
    </row>
    <row r="125" spans="1:15" x14ac:dyDescent="0.3">
      <c r="A125">
        <v>101</v>
      </c>
      <c r="B125" s="66" t="s">
        <v>14</v>
      </c>
      <c r="C125" s="67" t="s">
        <v>340</v>
      </c>
      <c r="D125" s="68"/>
      <c r="E125" s="66" t="s">
        <v>14</v>
      </c>
      <c r="F125" s="51">
        <v>4979.6200000000008</v>
      </c>
      <c r="G125" s="49"/>
      <c r="H125" s="49"/>
      <c r="I125" s="49"/>
      <c r="J125" s="49"/>
      <c r="K125" s="49" t="str">
        <f t="shared" si="5"/>
        <v>|PAGTO DOC - SEGURO SAÚDE|PLANO DE SAUDE - SEGURO SAÚDE|C CUSTO - 14051|TOTAL: 4979,62|</v>
      </c>
      <c r="L125" s="49"/>
      <c r="M125" s="50">
        <f t="shared" si="6"/>
        <v>4979.6200000000008</v>
      </c>
      <c r="N125" s="1" t="e">
        <f>"|"&amp;"PAGTO DOC - "&amp;F125&amp;"|"&amp;"DESP - "&amp;B125&amp;"|"&amp;"CENTRO CUSTO - "&amp;C125&amp;"|"&amp;I125&amp;"|"&amp;G125&amp;"|"&amp;#REF!&amp;"|"&amp;J125&amp;"|"&amp;H125&amp;"|"&amp;K125&amp;"|"&amp;L125&amp;"|"</f>
        <v>#REF!</v>
      </c>
      <c r="O125" s="1" t="str">
        <f t="shared" si="7"/>
        <v>31201005</v>
      </c>
    </row>
    <row r="126" spans="1:15" x14ac:dyDescent="0.3">
      <c r="A126">
        <v>101</v>
      </c>
      <c r="B126" s="66" t="s">
        <v>14</v>
      </c>
      <c r="C126" s="67" t="s">
        <v>361</v>
      </c>
      <c r="D126" s="68"/>
      <c r="E126" s="66" t="s">
        <v>14</v>
      </c>
      <c r="F126" s="51">
        <v>2477.1000000000004</v>
      </c>
      <c r="G126" s="49"/>
      <c r="H126" s="49"/>
      <c r="I126" s="49"/>
      <c r="J126" s="49"/>
      <c r="K126" s="49" t="str">
        <f t="shared" si="5"/>
        <v>|PAGTO DOC - SEGURO SAÚDE|PLANO DE SAUDE - SEGURO SAÚDE|C CUSTO - 14056|TOTAL: 2477,1|</v>
      </c>
      <c r="L126" s="49"/>
      <c r="M126" s="50">
        <f t="shared" si="6"/>
        <v>2477.1000000000004</v>
      </c>
      <c r="N126" s="1" t="e">
        <f>"|"&amp;"PAGTO DOC - "&amp;F126&amp;"|"&amp;"DESP - "&amp;B126&amp;"|"&amp;"CENTRO CUSTO - "&amp;C126&amp;"|"&amp;I126&amp;"|"&amp;G126&amp;"|"&amp;#REF!&amp;"|"&amp;J126&amp;"|"&amp;H126&amp;"|"&amp;K126&amp;"|"&amp;L126&amp;"|"</f>
        <v>#REF!</v>
      </c>
      <c r="O126" s="1" t="str">
        <f t="shared" si="7"/>
        <v>31201005</v>
      </c>
    </row>
    <row r="127" spans="1:15" s="20" customFormat="1" x14ac:dyDescent="0.3">
      <c r="A127" s="20">
        <v>101</v>
      </c>
      <c r="B127" s="70" t="s">
        <v>14</v>
      </c>
      <c r="C127" s="71" t="s">
        <v>343</v>
      </c>
      <c r="D127" s="72"/>
      <c r="E127" s="70" t="s">
        <v>14</v>
      </c>
      <c r="F127" s="52">
        <v>1238.55</v>
      </c>
      <c r="G127" s="53"/>
      <c r="H127" s="53"/>
      <c r="I127" s="53"/>
      <c r="J127" s="53"/>
      <c r="K127" s="49" t="str">
        <f t="shared" si="5"/>
        <v>|PAGTO DOC - SEGURO SAÚDE|PLANO DE SAUDE - SEGURO SAÚDE|C CUSTO - 15012|TOTAL: 1238,55|</v>
      </c>
      <c r="L127" s="53"/>
      <c r="M127" s="50">
        <f t="shared" si="6"/>
        <v>1238.55</v>
      </c>
      <c r="N127" s="1" t="e">
        <f>"|"&amp;"PAGTO DOC - "&amp;F127&amp;"|"&amp;"DESP - "&amp;B127&amp;"|"&amp;"CENTRO CUSTO - "&amp;C127&amp;"|"&amp;I127&amp;"|"&amp;G127&amp;"|"&amp;#REF!&amp;"|"&amp;J127&amp;"|"&amp;H127&amp;"|"&amp;K127&amp;"|"&amp;L127&amp;"|"</f>
        <v>#REF!</v>
      </c>
      <c r="O127" s="1" t="str">
        <f t="shared" si="7"/>
        <v>31201005</v>
      </c>
    </row>
    <row r="128" spans="1:15" x14ac:dyDescent="0.3">
      <c r="A128">
        <v>101</v>
      </c>
      <c r="B128" s="66" t="s">
        <v>14</v>
      </c>
      <c r="C128" s="67" t="s">
        <v>410</v>
      </c>
      <c r="D128" s="68"/>
      <c r="E128" s="66" t="s">
        <v>14</v>
      </c>
      <c r="F128" s="51">
        <v>12798.350000000004</v>
      </c>
      <c r="G128" s="49"/>
      <c r="H128" s="49"/>
      <c r="I128" s="49"/>
      <c r="J128" s="49"/>
      <c r="K128" s="49" t="str">
        <f t="shared" si="5"/>
        <v>|PAGTO DOC - SEGURO SAÚDE|PLANO DE SAUDE - SEGURO SAÚDE|C CUSTO - 15050|TOTAL: 12798,35|</v>
      </c>
      <c r="L128" s="49"/>
      <c r="M128" s="50">
        <f t="shared" si="6"/>
        <v>12798.350000000004</v>
      </c>
      <c r="N128" s="1" t="e">
        <f>"|"&amp;"PAGTO DOC - "&amp;F128&amp;"|"&amp;"DESP - "&amp;B128&amp;"|"&amp;"CENTRO CUSTO - "&amp;C128&amp;"|"&amp;I128&amp;"|"&amp;G128&amp;"|"&amp;#REF!&amp;"|"&amp;J128&amp;"|"&amp;H128&amp;"|"&amp;K128&amp;"|"&amp;L128&amp;"|"</f>
        <v>#REF!</v>
      </c>
      <c r="O128" s="1" t="str">
        <f t="shared" si="7"/>
        <v>31201005</v>
      </c>
    </row>
    <row r="129" spans="1:15" x14ac:dyDescent="0.3">
      <c r="A129">
        <v>101</v>
      </c>
      <c r="B129" s="66" t="s">
        <v>14</v>
      </c>
      <c r="C129" s="67" t="s">
        <v>403</v>
      </c>
      <c r="D129" s="68"/>
      <c r="E129" s="66" t="s">
        <v>14</v>
      </c>
      <c r="F129" s="51">
        <v>6605.6000000000022</v>
      </c>
      <c r="G129" s="49"/>
      <c r="H129" s="49"/>
      <c r="I129" s="49"/>
      <c r="J129" s="49"/>
      <c r="K129" s="49" t="str">
        <f t="shared" si="5"/>
        <v>|PAGTO DOC - SEGURO SAÚDE|PLANO DE SAUDE - SEGURO SAÚDE|C CUSTO - 15051|TOTAL: 6605,6|</v>
      </c>
      <c r="L129" s="49"/>
      <c r="M129" s="50">
        <f t="shared" si="6"/>
        <v>6605.6000000000022</v>
      </c>
      <c r="N129" s="1" t="e">
        <f>"|"&amp;"PAGTO DOC - "&amp;F129&amp;"|"&amp;"DESP - "&amp;B129&amp;"|"&amp;"CENTRO CUSTO - "&amp;C129&amp;"|"&amp;I129&amp;"|"&amp;G129&amp;"|"&amp;#REF!&amp;"|"&amp;J129&amp;"|"&amp;H129&amp;"|"&amp;K129&amp;"|"&amp;L129&amp;"|"</f>
        <v>#REF!</v>
      </c>
      <c r="O129" s="1" t="str">
        <f t="shared" si="7"/>
        <v>31201005</v>
      </c>
    </row>
    <row r="130" spans="1:15" x14ac:dyDescent="0.3">
      <c r="A130">
        <v>101</v>
      </c>
      <c r="B130" s="66" t="s">
        <v>14</v>
      </c>
      <c r="C130" s="67" t="s">
        <v>362</v>
      </c>
      <c r="D130" s="68"/>
      <c r="E130" s="66" t="s">
        <v>14</v>
      </c>
      <c r="F130" s="51">
        <v>10734.100000000006</v>
      </c>
      <c r="G130" s="49"/>
      <c r="H130" s="49"/>
      <c r="I130" s="49"/>
      <c r="J130" s="49"/>
      <c r="K130" s="49" t="str">
        <f t="shared" ref="K130:K183" si="10">"|"&amp;"PAGTO DOC - "&amp;E130&amp;"|"&amp;"PLANO DE SAUDE - "&amp;B130&amp;"|"&amp;"C CUSTO - "&amp;LEFT(C130,5)&amp;"|"&amp;"TOTAL: "&amp;F130&amp;"|"</f>
        <v>|PAGTO DOC - SEGURO SAÚDE|PLANO DE SAUDE - SEGURO SAÚDE|C CUSTO - 15056|TOTAL: 10734,1|</v>
      </c>
      <c r="L130" s="49"/>
      <c r="M130" s="50">
        <f t="shared" si="6"/>
        <v>10734.100000000006</v>
      </c>
      <c r="N130" s="1" t="e">
        <f>"|"&amp;"PAGTO DOC - "&amp;F130&amp;"|"&amp;"DESP - "&amp;B130&amp;"|"&amp;"CENTRO CUSTO - "&amp;C130&amp;"|"&amp;I130&amp;"|"&amp;G130&amp;"|"&amp;#REF!&amp;"|"&amp;J130&amp;"|"&amp;H130&amp;"|"&amp;K130&amp;"|"&amp;L130&amp;"|"</f>
        <v>#REF!</v>
      </c>
      <c r="O130" s="1" t="str">
        <f t="shared" si="7"/>
        <v>31201005</v>
      </c>
    </row>
    <row r="131" spans="1:15" x14ac:dyDescent="0.3">
      <c r="A131">
        <v>101</v>
      </c>
      <c r="B131" s="66" t="s">
        <v>14</v>
      </c>
      <c r="C131" s="67" t="s">
        <v>363</v>
      </c>
      <c r="D131" s="68"/>
      <c r="E131" s="66" t="s">
        <v>14</v>
      </c>
      <c r="F131" s="51">
        <v>7431.300000000002</v>
      </c>
      <c r="G131" s="49"/>
      <c r="H131" s="49"/>
      <c r="I131" s="49"/>
      <c r="J131" s="49"/>
      <c r="K131" s="49" t="str">
        <f t="shared" si="10"/>
        <v>|PAGTO DOC - SEGURO SAÚDE|PLANO DE SAUDE - SEGURO SAÚDE|C CUSTO - 15058|TOTAL: 7431,3|</v>
      </c>
      <c r="L131" s="49"/>
      <c r="M131" s="50">
        <f t="shared" ref="M131:M184" si="11">SUM(F131:L131)</f>
        <v>7431.300000000002</v>
      </c>
      <c r="N131" s="1" t="e">
        <f>"|"&amp;"PAGTO DOC - "&amp;F131&amp;"|"&amp;"DESP - "&amp;B131&amp;"|"&amp;"CENTRO CUSTO - "&amp;C131&amp;"|"&amp;I131&amp;"|"&amp;G131&amp;"|"&amp;#REF!&amp;"|"&amp;J131&amp;"|"&amp;H131&amp;"|"&amp;K131&amp;"|"&amp;L131&amp;"|"</f>
        <v>#REF!</v>
      </c>
      <c r="O131" s="1" t="str">
        <f t="shared" ref="O131:O184" si="12">IF(M131=0,0,IF(E131="SEGURO DE VIDA EM GRUPO","31201003","31201005"))</f>
        <v>31201005</v>
      </c>
    </row>
    <row r="132" spans="1:15" x14ac:dyDescent="0.3">
      <c r="A132">
        <v>101</v>
      </c>
      <c r="B132" s="66" t="s">
        <v>14</v>
      </c>
      <c r="C132" s="67" t="s">
        <v>372</v>
      </c>
      <c r="D132" s="68"/>
      <c r="E132" s="66" t="s">
        <v>14</v>
      </c>
      <c r="F132" s="51">
        <v>7431.300000000002</v>
      </c>
      <c r="G132" s="49"/>
      <c r="H132" s="49"/>
      <c r="I132" s="49"/>
      <c r="J132" s="49"/>
      <c r="K132" s="49" t="str">
        <f t="shared" si="10"/>
        <v>|PAGTO DOC - SEGURO SAÚDE|PLANO DE SAUDE - SEGURO SAÚDE|C CUSTO - 15059|TOTAL: 7431,3|</v>
      </c>
      <c r="L132" s="49"/>
      <c r="M132" s="50">
        <f t="shared" si="11"/>
        <v>7431.300000000002</v>
      </c>
      <c r="N132" s="1" t="e">
        <f>"|"&amp;"PAGTO DOC - "&amp;F132&amp;"|"&amp;"DESP - "&amp;B132&amp;"|"&amp;"CENTRO CUSTO - "&amp;C132&amp;"|"&amp;I132&amp;"|"&amp;G132&amp;"|"&amp;#REF!&amp;"|"&amp;J132&amp;"|"&amp;H132&amp;"|"&amp;K132&amp;"|"&amp;L132&amp;"|"</f>
        <v>#REF!</v>
      </c>
      <c r="O132" s="1" t="str">
        <f t="shared" si="12"/>
        <v>31201005</v>
      </c>
    </row>
    <row r="133" spans="1:15" x14ac:dyDescent="0.3">
      <c r="A133">
        <v>101</v>
      </c>
      <c r="B133" s="66" t="s">
        <v>14</v>
      </c>
      <c r="C133" s="67" t="s">
        <v>344</v>
      </c>
      <c r="D133" s="68"/>
      <c r="E133" s="66" t="s">
        <v>14</v>
      </c>
      <c r="F133" s="51">
        <v>7507.56</v>
      </c>
      <c r="G133" s="49"/>
      <c r="H133" s="49"/>
      <c r="I133" s="49"/>
      <c r="J133" s="49"/>
      <c r="K133" s="49" t="str">
        <f t="shared" si="10"/>
        <v>|PAGTO DOC - SEGURO SAÚDE|PLANO DE SAUDE - SEGURO SAÚDE|C CUSTO - 21011|TOTAL: 7507,56|</v>
      </c>
      <c r="L133" s="49"/>
      <c r="M133" s="50">
        <f t="shared" si="11"/>
        <v>7507.56</v>
      </c>
      <c r="N133" s="1" t="e">
        <f>"|"&amp;"PAGTO DOC - "&amp;F133&amp;"|"&amp;"DESP - "&amp;B133&amp;"|"&amp;"CENTRO CUSTO - "&amp;C133&amp;"|"&amp;I133&amp;"|"&amp;G133&amp;"|"&amp;#REF!&amp;"|"&amp;J133&amp;"|"&amp;H133&amp;"|"&amp;K133&amp;"|"&amp;L133&amp;"|"</f>
        <v>#REF!</v>
      </c>
      <c r="O133" s="1" t="str">
        <f t="shared" si="12"/>
        <v>31201005</v>
      </c>
    </row>
    <row r="134" spans="1:15" x14ac:dyDescent="0.3">
      <c r="A134">
        <v>101</v>
      </c>
      <c r="B134" s="66" t="s">
        <v>14</v>
      </c>
      <c r="C134" s="67" t="s">
        <v>355</v>
      </c>
      <c r="D134" s="68"/>
      <c r="E134" s="66" t="s">
        <v>14</v>
      </c>
      <c r="F134" s="51">
        <v>10422.93</v>
      </c>
      <c r="G134" s="49"/>
      <c r="H134" s="49"/>
      <c r="I134" s="49"/>
      <c r="J134" s="49"/>
      <c r="K134" s="49" t="str">
        <f t="shared" si="10"/>
        <v>|PAGTO DOC - SEGURO SAÚDE|PLANO DE SAUDE - SEGURO SAÚDE|C CUSTO - 33010|TOTAL: 10422,93|</v>
      </c>
      <c r="L134" s="49"/>
      <c r="M134" s="50">
        <f t="shared" si="11"/>
        <v>10422.93</v>
      </c>
      <c r="N134" s="1" t="e">
        <f>"|"&amp;"PAGTO DOC - "&amp;F134&amp;"|"&amp;"DESP - "&amp;B134&amp;"|"&amp;"CENTRO CUSTO - "&amp;C134&amp;"|"&amp;I134&amp;"|"&amp;G134&amp;"|"&amp;#REF!&amp;"|"&amp;J134&amp;"|"&amp;H134&amp;"|"&amp;K134&amp;"|"&amp;L134&amp;"|"</f>
        <v>#REF!</v>
      </c>
      <c r="O134" s="1" t="str">
        <f t="shared" si="12"/>
        <v>31201005</v>
      </c>
    </row>
    <row r="135" spans="1:15" x14ac:dyDescent="0.3">
      <c r="A135">
        <v>106</v>
      </c>
      <c r="B135" s="66" t="s">
        <v>330</v>
      </c>
      <c r="C135" s="67" t="s">
        <v>335</v>
      </c>
      <c r="D135" s="68"/>
      <c r="E135" s="66"/>
      <c r="F135" s="51">
        <v>8.0399999999999991</v>
      </c>
      <c r="G135" s="49"/>
      <c r="H135" s="49"/>
      <c r="I135" s="49"/>
      <c r="J135" s="49"/>
      <c r="K135" s="49" t="str">
        <f t="shared" si="10"/>
        <v>|PAGTO DOC - |PLANO DE SAUDE - SEGURO UNIMED|C CUSTO - 13013|TOTAL: 8,04|</v>
      </c>
      <c r="L135" s="49"/>
      <c r="M135" s="50">
        <f t="shared" si="11"/>
        <v>8.0399999999999991</v>
      </c>
      <c r="N135" s="1" t="e">
        <f>"|"&amp;"PAGTO DOC - "&amp;F135&amp;"|"&amp;"DESP - "&amp;B135&amp;"|"&amp;"CENTRO CUSTO - "&amp;C135&amp;"|"&amp;I135&amp;"|"&amp;G135&amp;"|"&amp;#REF!&amp;"|"&amp;J135&amp;"|"&amp;H135&amp;"|"&amp;K135&amp;"|"&amp;L135&amp;"|"</f>
        <v>#REF!</v>
      </c>
      <c r="O135" s="1" t="str">
        <f t="shared" si="12"/>
        <v>31201005</v>
      </c>
    </row>
    <row r="136" spans="1:15" x14ac:dyDescent="0.3">
      <c r="A136">
        <v>106</v>
      </c>
      <c r="B136" s="66" t="s">
        <v>330</v>
      </c>
      <c r="C136" s="67" t="s">
        <v>365</v>
      </c>
      <c r="D136" s="68"/>
      <c r="E136" s="66"/>
      <c r="F136" s="51">
        <v>56.28</v>
      </c>
      <c r="G136" s="49"/>
      <c r="H136" s="49"/>
      <c r="I136" s="49"/>
      <c r="J136" s="49"/>
      <c r="K136" s="49" t="str">
        <f t="shared" si="10"/>
        <v>|PAGTO DOC - |PLANO DE SAUDE - SEGURO UNIMED|C CUSTO - 32001|TOTAL: 56,28|</v>
      </c>
      <c r="L136" s="49"/>
      <c r="M136" s="50">
        <f t="shared" si="11"/>
        <v>56.28</v>
      </c>
      <c r="N136" s="1" t="e">
        <f>"|"&amp;"PAGTO DOC - "&amp;F136&amp;"|"&amp;"DESP - "&amp;B136&amp;"|"&amp;"CENTRO CUSTO - "&amp;C136&amp;"|"&amp;I136&amp;"|"&amp;G136&amp;"|"&amp;#REF!&amp;"|"&amp;J136&amp;"|"&amp;H136&amp;"|"&amp;K136&amp;"|"&amp;L136&amp;"|"</f>
        <v>#REF!</v>
      </c>
      <c r="O136" s="1" t="str">
        <f t="shared" si="12"/>
        <v>31201005</v>
      </c>
    </row>
    <row r="137" spans="1:15" x14ac:dyDescent="0.3">
      <c r="A137">
        <v>106</v>
      </c>
      <c r="B137" s="66" t="s">
        <v>330</v>
      </c>
      <c r="C137" s="67" t="s">
        <v>366</v>
      </c>
      <c r="D137" s="68"/>
      <c r="E137" s="66"/>
      <c r="F137" s="51">
        <v>209.04</v>
      </c>
      <c r="G137" s="49"/>
      <c r="H137" s="49"/>
      <c r="I137" s="49"/>
      <c r="J137" s="49"/>
      <c r="K137" s="49" t="str">
        <f t="shared" si="10"/>
        <v>|PAGTO DOC - |PLANO DE SAUDE - SEGURO UNIMED|C CUSTO - 32002|TOTAL: 209,04|</v>
      </c>
      <c r="L137" s="49"/>
      <c r="M137" s="50">
        <f t="shared" si="11"/>
        <v>209.04</v>
      </c>
      <c r="N137" s="1" t="e">
        <f>"|"&amp;"PAGTO DOC - "&amp;F137&amp;"|"&amp;"DESP - "&amp;B137&amp;"|"&amp;"CENTRO CUSTO - "&amp;C137&amp;"|"&amp;I137&amp;"|"&amp;G137&amp;"|"&amp;#REF!&amp;"|"&amp;J137&amp;"|"&amp;H137&amp;"|"&amp;K137&amp;"|"&amp;L137&amp;"|"</f>
        <v>#REF!</v>
      </c>
      <c r="O137" s="1" t="str">
        <f t="shared" si="12"/>
        <v>31201005</v>
      </c>
    </row>
    <row r="138" spans="1:15" x14ac:dyDescent="0.3">
      <c r="A138">
        <v>106</v>
      </c>
      <c r="B138" s="66" t="s">
        <v>330</v>
      </c>
      <c r="C138" s="67" t="s">
        <v>367</v>
      </c>
      <c r="D138" s="68"/>
      <c r="E138" s="66"/>
      <c r="F138" s="51">
        <v>168.84</v>
      </c>
      <c r="G138" s="49"/>
      <c r="H138" s="49"/>
      <c r="I138" s="49"/>
      <c r="J138" s="49"/>
      <c r="K138" s="49" t="str">
        <f t="shared" si="10"/>
        <v>|PAGTO DOC - |PLANO DE SAUDE - SEGURO UNIMED|C CUSTO - 32003|TOTAL: 168,84|</v>
      </c>
      <c r="L138" s="49"/>
      <c r="M138" s="50">
        <f t="shared" si="11"/>
        <v>168.84</v>
      </c>
      <c r="N138" s="1" t="e">
        <f>"|"&amp;"PAGTO DOC - "&amp;F138&amp;"|"&amp;"DESP - "&amp;B138&amp;"|"&amp;"CENTRO CUSTO - "&amp;C138&amp;"|"&amp;I138&amp;"|"&amp;G138&amp;"|"&amp;#REF!&amp;"|"&amp;J138&amp;"|"&amp;H138&amp;"|"&amp;K138&amp;"|"&amp;L138&amp;"|"</f>
        <v>#REF!</v>
      </c>
      <c r="O138" s="1" t="str">
        <f t="shared" si="12"/>
        <v>31201005</v>
      </c>
    </row>
    <row r="139" spans="1:15" x14ac:dyDescent="0.3">
      <c r="A139">
        <v>106</v>
      </c>
      <c r="B139" s="66" t="s">
        <v>330</v>
      </c>
      <c r="C139" s="67" t="s">
        <v>368</v>
      </c>
      <c r="D139" s="68"/>
      <c r="E139" s="66"/>
      <c r="F139" s="51">
        <v>112.56</v>
      </c>
      <c r="G139" s="49"/>
      <c r="H139" s="49"/>
      <c r="I139" s="49"/>
      <c r="J139" s="49"/>
      <c r="K139" s="49" t="str">
        <f t="shared" si="10"/>
        <v>|PAGTO DOC - |PLANO DE SAUDE - SEGURO UNIMED|C CUSTO - 32007|TOTAL: 112,56|</v>
      </c>
      <c r="L139" s="49"/>
      <c r="M139" s="50">
        <f t="shared" si="11"/>
        <v>112.56</v>
      </c>
      <c r="N139" s="1" t="e">
        <f>"|"&amp;"PAGTO DOC - "&amp;F139&amp;"|"&amp;"DESP - "&amp;B139&amp;"|"&amp;"CENTRO CUSTO - "&amp;C139&amp;"|"&amp;I139&amp;"|"&amp;G139&amp;"|"&amp;#REF!&amp;"|"&amp;J139&amp;"|"&amp;H139&amp;"|"&amp;K139&amp;"|"&amp;L139&amp;"|"</f>
        <v>#REF!</v>
      </c>
      <c r="O139" s="1" t="str">
        <f t="shared" si="12"/>
        <v>31201005</v>
      </c>
    </row>
    <row r="140" spans="1:15" x14ac:dyDescent="0.3">
      <c r="A140">
        <v>106</v>
      </c>
      <c r="B140" s="66" t="s">
        <v>330</v>
      </c>
      <c r="C140" s="67" t="s">
        <v>369</v>
      </c>
      <c r="D140" s="68"/>
      <c r="E140" s="66"/>
      <c r="F140" s="51">
        <v>24.12</v>
      </c>
      <c r="G140" s="49"/>
      <c r="H140" s="49"/>
      <c r="I140" s="49"/>
      <c r="J140" s="49"/>
      <c r="K140" s="49" t="str">
        <f t="shared" si="10"/>
        <v>|PAGTO DOC - |PLANO DE SAUDE - SEGURO UNIMED|C CUSTO - 32100|TOTAL: 24,12|</v>
      </c>
      <c r="L140" s="49"/>
      <c r="M140" s="50">
        <f t="shared" si="11"/>
        <v>24.12</v>
      </c>
      <c r="N140" s="1" t="e">
        <f>"|"&amp;"PAGTO DOC - "&amp;F140&amp;"|"&amp;"DESP - "&amp;B140&amp;"|"&amp;"CENTRO CUSTO - "&amp;C140&amp;"|"&amp;I140&amp;"|"&amp;G140&amp;"|"&amp;#REF!&amp;"|"&amp;J140&amp;"|"&amp;H140&amp;"|"&amp;K140&amp;"|"&amp;L140&amp;"|"</f>
        <v>#REF!</v>
      </c>
      <c r="O140" s="1" t="str">
        <f t="shared" si="12"/>
        <v>31201005</v>
      </c>
    </row>
    <row r="141" spans="1:15" x14ac:dyDescent="0.3">
      <c r="A141">
        <v>106</v>
      </c>
      <c r="B141" s="66" t="s">
        <v>330</v>
      </c>
      <c r="C141" s="67" t="s">
        <v>370</v>
      </c>
      <c r="D141" s="68"/>
      <c r="E141" s="66"/>
      <c r="F141" s="51">
        <v>64.319999999999993</v>
      </c>
      <c r="G141" s="49"/>
      <c r="H141" s="49"/>
      <c r="I141" s="49"/>
      <c r="J141" s="49"/>
      <c r="K141" s="49" t="str">
        <f t="shared" si="10"/>
        <v>|PAGTO DOC - |PLANO DE SAUDE - SEGURO UNIMED|C CUSTO - 34001|TOTAL: 64,32|</v>
      </c>
      <c r="L141" s="49"/>
      <c r="M141" s="50">
        <f t="shared" si="11"/>
        <v>64.319999999999993</v>
      </c>
      <c r="N141" s="1" t="e">
        <f>"|"&amp;"PAGTO DOC - "&amp;F141&amp;"|"&amp;"DESP - "&amp;B141&amp;"|"&amp;"CENTRO CUSTO - "&amp;C141&amp;"|"&amp;I141&amp;"|"&amp;G141&amp;"|"&amp;#REF!&amp;"|"&amp;J141&amp;"|"&amp;H141&amp;"|"&amp;K141&amp;"|"&amp;L141&amp;"|"</f>
        <v>#REF!</v>
      </c>
      <c r="O141" s="1" t="str">
        <f t="shared" si="12"/>
        <v>31201005</v>
      </c>
    </row>
    <row r="142" spans="1:15" x14ac:dyDescent="0.3">
      <c r="A142">
        <v>106</v>
      </c>
      <c r="B142" s="66" t="s">
        <v>330</v>
      </c>
      <c r="C142" s="67" t="s">
        <v>362</v>
      </c>
      <c r="D142" s="68"/>
      <c r="E142" s="66"/>
      <c r="F142" s="51">
        <v>297.48</v>
      </c>
      <c r="G142" s="49"/>
      <c r="H142" s="49"/>
      <c r="I142" s="49"/>
      <c r="J142" s="49"/>
      <c r="K142" s="49" t="str">
        <f t="shared" si="10"/>
        <v>|PAGTO DOC - |PLANO DE SAUDE - SEGURO UNIMED|C CUSTO - 15056|TOTAL: 297,48|</v>
      </c>
      <c r="L142" s="49"/>
      <c r="M142" s="50">
        <f t="shared" si="11"/>
        <v>297.48</v>
      </c>
      <c r="N142" s="1" t="e">
        <f>"|"&amp;"PAGTO DOC - "&amp;F142&amp;"|"&amp;"DESP - "&amp;B142&amp;"|"&amp;"CENTRO CUSTO - "&amp;C142&amp;"|"&amp;I142&amp;"|"&amp;G142&amp;"|"&amp;#REF!&amp;"|"&amp;J142&amp;"|"&amp;H142&amp;"|"&amp;K142&amp;"|"&amp;L142&amp;"|"</f>
        <v>#REF!</v>
      </c>
      <c r="O142" s="1" t="str">
        <f t="shared" si="12"/>
        <v>31201005</v>
      </c>
    </row>
    <row r="143" spans="1:15" x14ac:dyDescent="0.3">
      <c r="A143">
        <v>106</v>
      </c>
      <c r="B143" s="66" t="s">
        <v>330</v>
      </c>
      <c r="C143" s="67" t="s">
        <v>363</v>
      </c>
      <c r="D143" s="68"/>
      <c r="E143" s="66"/>
      <c r="F143" s="51">
        <v>176.88</v>
      </c>
      <c r="G143" s="49"/>
      <c r="H143" s="49"/>
      <c r="I143" s="49"/>
      <c r="J143" s="49"/>
      <c r="K143" s="49" t="str">
        <f t="shared" si="10"/>
        <v>|PAGTO DOC - |PLANO DE SAUDE - SEGURO UNIMED|C CUSTO - 15058|TOTAL: 176,88|</v>
      </c>
      <c r="L143" s="49"/>
      <c r="M143" s="50">
        <f t="shared" si="11"/>
        <v>176.88</v>
      </c>
      <c r="N143" s="1" t="e">
        <f>"|"&amp;"PAGTO DOC - "&amp;F143&amp;"|"&amp;"DESP - "&amp;B143&amp;"|"&amp;"CENTRO CUSTO - "&amp;C143&amp;"|"&amp;I143&amp;"|"&amp;G143&amp;"|"&amp;#REF!&amp;"|"&amp;J143&amp;"|"&amp;H143&amp;"|"&amp;K143&amp;"|"&amp;L143&amp;"|"</f>
        <v>#REF!</v>
      </c>
      <c r="O143" s="1" t="str">
        <f t="shared" si="12"/>
        <v>31201005</v>
      </c>
    </row>
    <row r="144" spans="1:15" x14ac:dyDescent="0.3">
      <c r="A144">
        <v>104</v>
      </c>
      <c r="B144" s="66" t="s">
        <v>330</v>
      </c>
      <c r="C144" s="67" t="s">
        <v>372</v>
      </c>
      <c r="D144" s="68"/>
      <c r="E144" s="66"/>
      <c r="F144" s="51">
        <v>152.76</v>
      </c>
      <c r="G144" s="49"/>
      <c r="H144" s="49"/>
      <c r="I144" s="49"/>
      <c r="J144" s="49"/>
      <c r="K144" s="49" t="str">
        <f t="shared" si="10"/>
        <v>|PAGTO DOC - |PLANO DE SAUDE - SEGURO UNIMED|C CUSTO - 15059|TOTAL: 152,76|</v>
      </c>
      <c r="L144" s="49"/>
      <c r="M144" s="50">
        <f t="shared" si="11"/>
        <v>152.76</v>
      </c>
      <c r="N144" s="1" t="e">
        <f>"|"&amp;"PAGTO DOC - "&amp;F144&amp;"|"&amp;"DESP - "&amp;B144&amp;"|"&amp;"CENTRO CUSTO - "&amp;C144&amp;"|"&amp;I144&amp;"|"&amp;G144&amp;"|"&amp;#REF!&amp;"|"&amp;J144&amp;"|"&amp;H144&amp;"|"&amp;K144&amp;"|"&amp;L144&amp;"|"</f>
        <v>#REF!</v>
      </c>
      <c r="O144" s="1" t="str">
        <f t="shared" si="12"/>
        <v>31201005</v>
      </c>
    </row>
    <row r="145" spans="1:15" x14ac:dyDescent="0.3">
      <c r="A145">
        <v>104</v>
      </c>
      <c r="B145" s="66" t="s">
        <v>330</v>
      </c>
      <c r="C145" s="67" t="s">
        <v>371</v>
      </c>
      <c r="D145" s="68"/>
      <c r="E145" s="66"/>
      <c r="F145" s="51">
        <v>48.24</v>
      </c>
      <c r="G145" s="49"/>
      <c r="H145" s="49"/>
      <c r="I145" s="49"/>
      <c r="J145" s="49"/>
      <c r="K145" s="49" t="str">
        <f t="shared" si="10"/>
        <v>|PAGTO DOC - |PLANO DE SAUDE - SEGURO UNIMED|C CUSTO - 22002|TOTAL: 48,24|</v>
      </c>
      <c r="L145" s="49"/>
      <c r="M145" s="50">
        <f t="shared" si="11"/>
        <v>48.24</v>
      </c>
      <c r="N145" s="1" t="e">
        <f>"|"&amp;"PAGTO DOC - "&amp;F145&amp;"|"&amp;"DESP - "&amp;B145&amp;"|"&amp;"CENTRO CUSTO - "&amp;C145&amp;"|"&amp;I145&amp;"|"&amp;G145&amp;"|"&amp;#REF!&amp;"|"&amp;J145&amp;"|"&amp;H145&amp;"|"&amp;K145&amp;"|"&amp;L145&amp;"|"</f>
        <v>#REF!</v>
      </c>
      <c r="O145" s="1" t="str">
        <f t="shared" si="12"/>
        <v>31201005</v>
      </c>
    </row>
    <row r="146" spans="1:15" x14ac:dyDescent="0.3">
      <c r="A146">
        <v>101</v>
      </c>
      <c r="B146" s="66" t="s">
        <v>308</v>
      </c>
      <c r="C146" s="67" t="s">
        <v>333</v>
      </c>
      <c r="D146" s="68"/>
      <c r="E146" s="66"/>
      <c r="F146" s="51">
        <v>213.6</v>
      </c>
      <c r="G146" s="49"/>
      <c r="H146" s="49"/>
      <c r="I146" s="49"/>
      <c r="J146" s="49"/>
      <c r="K146" s="49" t="str">
        <f t="shared" si="10"/>
        <v>|PAGTO DOC - |PLANO DE SAUDE - SORRISO ODONTO|C CUSTO - 13011|TOTAL: 213,6|</v>
      </c>
      <c r="L146" s="49"/>
      <c r="M146" s="50">
        <f t="shared" si="11"/>
        <v>213.6</v>
      </c>
      <c r="N146" s="1" t="e">
        <f>"|"&amp;"PAGTO DOC - "&amp;F146&amp;"|"&amp;"DESP - "&amp;B146&amp;"|"&amp;"CENTRO CUSTO - "&amp;C146&amp;"|"&amp;I146&amp;"|"&amp;G146&amp;"|"&amp;#REF!&amp;"|"&amp;J146&amp;"|"&amp;H146&amp;"|"&amp;K146&amp;"|"&amp;L146&amp;"|"</f>
        <v>#REF!</v>
      </c>
      <c r="O146" s="1" t="str">
        <f t="shared" si="12"/>
        <v>31201005</v>
      </c>
    </row>
    <row r="147" spans="1:15" x14ac:dyDescent="0.3">
      <c r="A147">
        <v>101</v>
      </c>
      <c r="B147" s="66" t="s">
        <v>308</v>
      </c>
      <c r="C147" s="67" t="s">
        <v>335</v>
      </c>
      <c r="D147" s="68"/>
      <c r="E147" s="66"/>
      <c r="F147" s="51">
        <v>48</v>
      </c>
      <c r="G147" s="49"/>
      <c r="H147" s="49"/>
      <c r="I147" s="49"/>
      <c r="J147" s="49"/>
      <c r="K147" s="49" t="str">
        <f t="shared" si="10"/>
        <v>|PAGTO DOC - |PLANO DE SAUDE - SORRISO ODONTO|C CUSTO - 13013|TOTAL: 48|</v>
      </c>
      <c r="L147" s="49"/>
      <c r="M147" s="50">
        <f t="shared" si="11"/>
        <v>48</v>
      </c>
      <c r="N147" s="1" t="e">
        <f>"|"&amp;"PAGTO DOC - "&amp;F147&amp;"|"&amp;"DESP - "&amp;B147&amp;"|"&amp;"CENTRO CUSTO - "&amp;C147&amp;"|"&amp;I147&amp;"|"&amp;G147&amp;"|"&amp;#REF!&amp;"|"&amp;J147&amp;"|"&amp;H147&amp;"|"&amp;K147&amp;"|"&amp;L147&amp;"|"</f>
        <v>#REF!</v>
      </c>
      <c r="O147" s="1" t="str">
        <f t="shared" si="12"/>
        <v>31201005</v>
      </c>
    </row>
    <row r="148" spans="1:15" x14ac:dyDescent="0.3">
      <c r="A148">
        <v>101</v>
      </c>
      <c r="B148" s="66" t="s">
        <v>308</v>
      </c>
      <c r="C148" s="67" t="s">
        <v>400</v>
      </c>
      <c r="D148" s="68"/>
      <c r="E148" s="66"/>
      <c r="F148" s="51">
        <v>105</v>
      </c>
      <c r="G148" s="49"/>
      <c r="H148" s="49"/>
      <c r="I148" s="49"/>
      <c r="J148" s="49"/>
      <c r="K148" s="49" t="str">
        <f t="shared" si="10"/>
        <v>|PAGTO DOC - |PLANO DE SAUDE - SORRISO ODONTO|C CUSTO - 13017|TOTAL: 105|</v>
      </c>
      <c r="L148" s="49"/>
      <c r="M148" s="50">
        <f t="shared" si="11"/>
        <v>105</v>
      </c>
      <c r="N148" s="1" t="e">
        <f>"|"&amp;"PAGTO DOC - "&amp;F148&amp;"|"&amp;"DESP - "&amp;B148&amp;"|"&amp;"CENTRO CUSTO - "&amp;C148&amp;"|"&amp;I148&amp;"|"&amp;G148&amp;"|"&amp;#REF!&amp;"|"&amp;J148&amp;"|"&amp;H148&amp;"|"&amp;K148&amp;"|"&amp;L148&amp;"|"</f>
        <v>#REF!</v>
      </c>
      <c r="O148" s="1" t="str">
        <f t="shared" si="12"/>
        <v>31201005</v>
      </c>
    </row>
    <row r="149" spans="1:15" x14ac:dyDescent="0.3">
      <c r="A149">
        <v>101</v>
      </c>
      <c r="B149" s="66" t="s">
        <v>308</v>
      </c>
      <c r="C149" s="67" t="s">
        <v>401</v>
      </c>
      <c r="D149" s="68"/>
      <c r="E149" s="66"/>
      <c r="F149" s="51">
        <v>85</v>
      </c>
      <c r="G149" s="49"/>
      <c r="H149" s="49"/>
      <c r="I149" s="49"/>
      <c r="J149" s="49"/>
      <c r="K149" s="49" t="str">
        <f t="shared" si="10"/>
        <v>|PAGTO DOC - |PLANO DE SAUDE - SORRISO ODONTO|C CUSTO - 13019|TOTAL: 85|</v>
      </c>
      <c r="L149" s="49"/>
      <c r="M149" s="50">
        <f t="shared" si="11"/>
        <v>85</v>
      </c>
      <c r="N149" s="1" t="e">
        <f>"|"&amp;"PAGTO DOC - "&amp;F149&amp;"|"&amp;"DESP - "&amp;B149&amp;"|"&amp;"CENTRO CUSTO - "&amp;C149&amp;"|"&amp;I149&amp;"|"&amp;G149&amp;"|"&amp;#REF!&amp;"|"&amp;J149&amp;"|"&amp;H149&amp;"|"&amp;K149&amp;"|"&amp;L149&amp;"|"</f>
        <v>#REF!</v>
      </c>
      <c r="O149" s="1" t="str">
        <f t="shared" si="12"/>
        <v>31201005</v>
      </c>
    </row>
    <row r="150" spans="1:15" x14ac:dyDescent="0.3">
      <c r="A150">
        <v>101</v>
      </c>
      <c r="B150" s="66" t="s">
        <v>308</v>
      </c>
      <c r="C150" s="67" t="s">
        <v>402</v>
      </c>
      <c r="D150" s="68"/>
      <c r="E150" s="66"/>
      <c r="F150" s="51">
        <v>224.15</v>
      </c>
      <c r="G150" s="49"/>
      <c r="H150" s="49"/>
      <c r="I150" s="49"/>
      <c r="J150" s="49"/>
      <c r="K150" s="49" t="str">
        <f t="shared" si="10"/>
        <v>|PAGTO DOC - |PLANO DE SAUDE - SORRISO ODONTO|C CUSTO - 13021|TOTAL: 224,15|</v>
      </c>
      <c r="L150" s="49"/>
      <c r="M150" s="50">
        <f t="shared" si="11"/>
        <v>224.15</v>
      </c>
      <c r="N150" s="1" t="e">
        <f>"|"&amp;"PAGTO DOC - "&amp;F150&amp;"|"&amp;"DESP - "&amp;B150&amp;"|"&amp;"CENTRO CUSTO - "&amp;C150&amp;"|"&amp;I150&amp;"|"&amp;G150&amp;"|"&amp;#REF!&amp;"|"&amp;J150&amp;"|"&amp;H150&amp;"|"&amp;K150&amp;"|"&amp;L150&amp;"|"</f>
        <v>#REF!</v>
      </c>
      <c r="O150" s="1" t="str">
        <f t="shared" si="12"/>
        <v>31201005</v>
      </c>
    </row>
    <row r="151" spans="1:15" x14ac:dyDescent="0.3">
      <c r="A151">
        <v>101</v>
      </c>
      <c r="B151" s="66" t="s">
        <v>308</v>
      </c>
      <c r="C151" s="67" t="s">
        <v>345</v>
      </c>
      <c r="D151" s="68"/>
      <c r="E151" s="66"/>
      <c r="F151" s="51">
        <v>222</v>
      </c>
      <c r="G151" s="49"/>
      <c r="H151" s="49"/>
      <c r="I151" s="49"/>
      <c r="J151" s="49"/>
      <c r="K151" s="49" t="str">
        <f t="shared" si="10"/>
        <v>|PAGTO DOC - |PLANO DE SAUDE - SORRISO ODONTO|C CUSTO - 21012|TOTAL: 222|</v>
      </c>
      <c r="L151" s="49"/>
      <c r="M151" s="50">
        <f t="shared" si="11"/>
        <v>222</v>
      </c>
      <c r="N151" s="1" t="e">
        <f>"|"&amp;"PAGTO DOC - "&amp;F151&amp;"|"&amp;"DESP - "&amp;B151&amp;"|"&amp;"CENTRO CUSTO - "&amp;C151&amp;"|"&amp;I151&amp;"|"&amp;G151&amp;"|"&amp;#REF!&amp;"|"&amp;J151&amp;"|"&amp;H151&amp;"|"&amp;K151&amp;"|"&amp;L151&amp;"|"</f>
        <v>#REF!</v>
      </c>
      <c r="O151" s="1" t="str">
        <f t="shared" si="12"/>
        <v>31201005</v>
      </c>
    </row>
    <row r="152" spans="1:15" x14ac:dyDescent="0.3">
      <c r="A152">
        <v>101</v>
      </c>
      <c r="B152" s="66" t="s">
        <v>308</v>
      </c>
      <c r="C152" s="67" t="s">
        <v>346</v>
      </c>
      <c r="D152" s="68"/>
      <c r="E152" s="66"/>
      <c r="F152" s="51">
        <v>175.45</v>
      </c>
      <c r="G152" s="49"/>
      <c r="H152" s="49"/>
      <c r="I152" s="49"/>
      <c r="J152" s="49"/>
      <c r="K152" s="49" t="str">
        <f t="shared" si="10"/>
        <v>|PAGTO DOC - |PLANO DE SAUDE - SORRISO ODONTO|C CUSTO - 31040|TOTAL: 175,45|</v>
      </c>
      <c r="L152" s="49"/>
      <c r="M152" s="50">
        <f t="shared" si="11"/>
        <v>175.45</v>
      </c>
      <c r="N152" s="1" t="e">
        <f>"|"&amp;"PAGTO DOC - "&amp;F152&amp;"|"&amp;"DESP - "&amp;B152&amp;"|"&amp;"CENTRO CUSTO - "&amp;C152&amp;"|"&amp;I152&amp;"|"&amp;G152&amp;"|"&amp;#REF!&amp;"|"&amp;J152&amp;"|"&amp;H152&amp;"|"&amp;K152&amp;"|"&amp;L152&amp;"|"</f>
        <v>#REF!</v>
      </c>
      <c r="O152" s="1" t="str">
        <f t="shared" si="12"/>
        <v>31201005</v>
      </c>
    </row>
    <row r="153" spans="1:15" x14ac:dyDescent="0.3">
      <c r="A153">
        <v>101</v>
      </c>
      <c r="B153" s="66" t="s">
        <v>308</v>
      </c>
      <c r="C153" s="67" t="s">
        <v>347</v>
      </c>
      <c r="D153" s="68"/>
      <c r="E153" s="66"/>
      <c r="F153" s="51">
        <v>1013.6</v>
      </c>
      <c r="G153" s="49"/>
      <c r="H153" s="49"/>
      <c r="I153" s="49"/>
      <c r="J153" s="49"/>
      <c r="K153" s="49" t="str">
        <f t="shared" si="10"/>
        <v>|PAGTO DOC - |PLANO DE SAUDE - SORRISO ODONTO|C CUSTO - 31060|TOTAL: 1013,6|</v>
      </c>
      <c r="L153" s="49"/>
      <c r="M153" s="50">
        <f t="shared" si="11"/>
        <v>1013.6</v>
      </c>
      <c r="N153" s="1" t="e">
        <f>"|"&amp;"PAGTO DOC - "&amp;F153&amp;"|"&amp;"DESP - "&amp;B153&amp;"|"&amp;"CENTRO CUSTO - "&amp;C153&amp;"|"&amp;I153&amp;"|"&amp;G153&amp;"|"&amp;#REF!&amp;"|"&amp;J153&amp;"|"&amp;H153&amp;"|"&amp;K153&amp;"|"&amp;L153&amp;"|"</f>
        <v>#REF!</v>
      </c>
      <c r="O153" s="1" t="str">
        <f t="shared" si="12"/>
        <v>31201005</v>
      </c>
    </row>
    <row r="154" spans="1:15" x14ac:dyDescent="0.3">
      <c r="A154">
        <v>101</v>
      </c>
      <c r="B154" s="66" t="s">
        <v>308</v>
      </c>
      <c r="C154" s="67" t="s">
        <v>348</v>
      </c>
      <c r="D154" s="68"/>
      <c r="E154" s="66"/>
      <c r="F154" s="51">
        <v>132</v>
      </c>
      <c r="G154" s="49"/>
      <c r="H154" s="49"/>
      <c r="I154" s="49"/>
      <c r="J154" s="49"/>
      <c r="K154" s="49" t="str">
        <f t="shared" si="10"/>
        <v>|PAGTO DOC - |PLANO DE SAUDE - SORRISO ODONTO|C CUSTO - 31070|TOTAL: 132|</v>
      </c>
      <c r="L154" s="49"/>
      <c r="M154" s="50">
        <f t="shared" si="11"/>
        <v>132</v>
      </c>
      <c r="N154" s="1" t="e">
        <f>"|"&amp;"PAGTO DOC - "&amp;F154&amp;"|"&amp;"DESP - "&amp;B154&amp;"|"&amp;"CENTRO CUSTO - "&amp;C154&amp;"|"&amp;I154&amp;"|"&amp;G154&amp;"|"&amp;#REF!&amp;"|"&amp;J154&amp;"|"&amp;H154&amp;"|"&amp;K154&amp;"|"&amp;L154&amp;"|"</f>
        <v>#REF!</v>
      </c>
      <c r="O154" s="1" t="str">
        <f t="shared" si="12"/>
        <v>31201005</v>
      </c>
    </row>
    <row r="155" spans="1:15" x14ac:dyDescent="0.3">
      <c r="A155">
        <v>101</v>
      </c>
      <c r="B155" s="66" t="s">
        <v>308</v>
      </c>
      <c r="C155" s="67" t="s">
        <v>349</v>
      </c>
      <c r="D155" s="68"/>
      <c r="E155" s="66"/>
      <c r="F155" s="51">
        <v>968.90000000000009</v>
      </c>
      <c r="G155" s="49"/>
      <c r="H155" s="49"/>
      <c r="I155" s="49"/>
      <c r="J155" s="49"/>
      <c r="K155" s="49" t="str">
        <f t="shared" si="10"/>
        <v>|PAGTO DOC - |PLANO DE SAUDE - SORRISO ODONTO|C CUSTO - 31090|TOTAL: 968,9|</v>
      </c>
      <c r="L155" s="49"/>
      <c r="M155" s="50">
        <f t="shared" si="11"/>
        <v>968.90000000000009</v>
      </c>
      <c r="N155" s="1" t="e">
        <f>"|"&amp;"PAGTO DOC - "&amp;F155&amp;"|"&amp;"DESP - "&amp;B155&amp;"|"&amp;"CENTRO CUSTO - "&amp;C155&amp;"|"&amp;I155&amp;"|"&amp;G155&amp;"|"&amp;#REF!&amp;"|"&amp;J155&amp;"|"&amp;H155&amp;"|"&amp;K155&amp;"|"&amp;L155&amp;"|"</f>
        <v>#REF!</v>
      </c>
      <c r="O155" s="1" t="str">
        <f t="shared" si="12"/>
        <v>31201005</v>
      </c>
    </row>
    <row r="156" spans="1:15" x14ac:dyDescent="0.3">
      <c r="A156">
        <v>101</v>
      </c>
      <c r="B156" s="66" t="s">
        <v>308</v>
      </c>
      <c r="C156" s="67" t="s">
        <v>405</v>
      </c>
      <c r="D156" s="68"/>
      <c r="E156" s="66"/>
      <c r="F156" s="51">
        <v>35</v>
      </c>
      <c r="G156" s="49"/>
      <c r="H156" s="49"/>
      <c r="I156" s="49"/>
      <c r="J156" s="49"/>
      <c r="K156" s="49" t="str">
        <f t="shared" si="10"/>
        <v>|PAGTO DOC - |PLANO DE SAUDE - SORRISO ODONTO|C CUSTO - 31100|TOTAL: 35|</v>
      </c>
      <c r="L156" s="49"/>
      <c r="M156" s="50">
        <f t="shared" si="11"/>
        <v>35</v>
      </c>
      <c r="N156" s="1" t="e">
        <f>"|"&amp;"PAGTO DOC - "&amp;F156&amp;"|"&amp;"DESP - "&amp;B156&amp;"|"&amp;"CENTRO CUSTO - "&amp;C156&amp;"|"&amp;I156&amp;"|"&amp;G156&amp;"|"&amp;#REF!&amp;"|"&amp;J156&amp;"|"&amp;H156&amp;"|"&amp;K156&amp;"|"&amp;L156&amp;"|"</f>
        <v>#REF!</v>
      </c>
      <c r="O156" s="1" t="str">
        <f t="shared" si="12"/>
        <v>31201005</v>
      </c>
    </row>
    <row r="157" spans="1:15" x14ac:dyDescent="0.3">
      <c r="A157">
        <v>101</v>
      </c>
      <c r="B157" s="66" t="s">
        <v>308</v>
      </c>
      <c r="C157" s="67" t="s">
        <v>350</v>
      </c>
      <c r="D157" s="68"/>
      <c r="E157" s="66"/>
      <c r="F157" s="51">
        <v>142</v>
      </c>
      <c r="G157" s="49"/>
      <c r="H157" s="49"/>
      <c r="I157" s="49"/>
      <c r="J157" s="49"/>
      <c r="K157" s="49" t="str">
        <f t="shared" si="10"/>
        <v>|PAGTO DOC - |PLANO DE SAUDE - SORRISO ODONTO|C CUSTO - 31111|TOTAL: 142|</v>
      </c>
      <c r="L157" s="49"/>
      <c r="M157" s="50">
        <f t="shared" si="11"/>
        <v>142</v>
      </c>
      <c r="N157" s="1" t="e">
        <f>"|"&amp;"PAGTO DOC - "&amp;F157&amp;"|"&amp;"DESP - "&amp;B157&amp;"|"&amp;"CENTRO CUSTO - "&amp;C157&amp;"|"&amp;I157&amp;"|"&amp;G157&amp;"|"&amp;#REF!&amp;"|"&amp;J157&amp;"|"&amp;H157&amp;"|"&amp;K157&amp;"|"&amp;L157&amp;"|"</f>
        <v>#REF!</v>
      </c>
      <c r="O157" s="1" t="str">
        <f t="shared" si="12"/>
        <v>31201005</v>
      </c>
    </row>
    <row r="158" spans="1:15" x14ac:dyDescent="0.3">
      <c r="A158">
        <v>101</v>
      </c>
      <c r="B158" s="66" t="s">
        <v>308</v>
      </c>
      <c r="C158" s="67" t="s">
        <v>351</v>
      </c>
      <c r="D158" s="68"/>
      <c r="E158" s="66"/>
      <c r="F158" s="51">
        <v>195</v>
      </c>
      <c r="G158" s="49"/>
      <c r="H158" s="49"/>
      <c r="I158" s="49"/>
      <c r="J158" s="49"/>
      <c r="K158" s="49" t="str">
        <f t="shared" si="10"/>
        <v>|PAGTO DOC - |PLANO DE SAUDE - SORRISO ODONTO|C CUSTO - 31112|TOTAL: 195|</v>
      </c>
      <c r="L158" s="49"/>
      <c r="M158" s="50">
        <f t="shared" si="11"/>
        <v>195</v>
      </c>
      <c r="N158" s="1" t="e">
        <f>"|"&amp;"PAGTO DOC - "&amp;F158&amp;"|"&amp;"DESP - "&amp;B158&amp;"|"&amp;"CENTRO CUSTO - "&amp;C158&amp;"|"&amp;I158&amp;"|"&amp;G158&amp;"|"&amp;#REF!&amp;"|"&amp;J158&amp;"|"&amp;H158&amp;"|"&amp;K158&amp;"|"&amp;L158&amp;"|"</f>
        <v>#REF!</v>
      </c>
      <c r="O158" s="1" t="str">
        <f t="shared" si="12"/>
        <v>31201005</v>
      </c>
    </row>
    <row r="159" spans="1:15" x14ac:dyDescent="0.3">
      <c r="A159">
        <v>101</v>
      </c>
      <c r="B159" s="66" t="s">
        <v>308</v>
      </c>
      <c r="C159" s="67" t="s">
        <v>352</v>
      </c>
      <c r="D159" s="68"/>
      <c r="E159" s="66"/>
      <c r="F159" s="51">
        <v>470</v>
      </c>
      <c r="G159" s="49"/>
      <c r="H159" s="49"/>
      <c r="I159" s="49"/>
      <c r="J159" s="49"/>
      <c r="K159" s="49" t="str">
        <f t="shared" si="10"/>
        <v>|PAGTO DOC - |PLANO DE SAUDE - SORRISO ODONTO|C CUSTO - 31114|TOTAL: 470|</v>
      </c>
      <c r="L159" s="49"/>
      <c r="M159" s="50">
        <f t="shared" si="11"/>
        <v>470</v>
      </c>
      <c r="N159" s="1" t="e">
        <f>"|"&amp;"PAGTO DOC - "&amp;F159&amp;"|"&amp;"DESP - "&amp;B159&amp;"|"&amp;"CENTRO CUSTO - "&amp;C159&amp;"|"&amp;I159&amp;"|"&amp;G159&amp;"|"&amp;#REF!&amp;"|"&amp;J159&amp;"|"&amp;H159&amp;"|"&amp;K159&amp;"|"&amp;L159&amp;"|"</f>
        <v>#REF!</v>
      </c>
      <c r="O159" s="1" t="str">
        <f t="shared" si="12"/>
        <v>31201005</v>
      </c>
    </row>
    <row r="160" spans="1:15" x14ac:dyDescent="0.3">
      <c r="A160">
        <v>101</v>
      </c>
      <c r="B160" s="66" t="s">
        <v>308</v>
      </c>
      <c r="C160" s="67" t="s">
        <v>353</v>
      </c>
      <c r="D160" s="68"/>
      <c r="E160" s="66"/>
      <c r="F160" s="51">
        <v>172</v>
      </c>
      <c r="G160" s="49"/>
      <c r="H160" s="49"/>
      <c r="I160" s="49"/>
      <c r="J160" s="49"/>
      <c r="K160" s="49" t="str">
        <f t="shared" si="10"/>
        <v>|PAGTO DOC - |PLANO DE SAUDE - SORRISO ODONTO|C CUSTO - 31116|TOTAL: 172|</v>
      </c>
      <c r="L160" s="49"/>
      <c r="M160" s="50">
        <f t="shared" si="11"/>
        <v>172</v>
      </c>
      <c r="N160" s="1" t="e">
        <f>"|"&amp;"PAGTO DOC - "&amp;F160&amp;"|"&amp;"DESP - "&amp;B160&amp;"|"&amp;"CENTRO CUSTO - "&amp;C160&amp;"|"&amp;I160&amp;"|"&amp;G160&amp;"|"&amp;#REF!&amp;"|"&amp;J160&amp;"|"&amp;H160&amp;"|"&amp;K160&amp;"|"&amp;L160&amp;"|"</f>
        <v>#REF!</v>
      </c>
      <c r="O160" s="1" t="str">
        <f t="shared" si="12"/>
        <v>31201005</v>
      </c>
    </row>
    <row r="161" spans="1:15" x14ac:dyDescent="0.3">
      <c r="A161">
        <v>101</v>
      </c>
      <c r="B161" s="66" t="s">
        <v>308</v>
      </c>
      <c r="C161" s="67" t="s">
        <v>354</v>
      </c>
      <c r="D161" s="68"/>
      <c r="E161" s="66"/>
      <c r="F161" s="51">
        <v>489.9</v>
      </c>
      <c r="G161" s="49"/>
      <c r="H161" s="49"/>
      <c r="I161" s="49"/>
      <c r="J161" s="49"/>
      <c r="K161" s="49" t="str">
        <f t="shared" si="10"/>
        <v>|PAGTO DOC - |PLANO DE SAUDE - SORRISO ODONTO|C CUSTO - 31200|TOTAL: 489,9|</v>
      </c>
      <c r="L161" s="49"/>
      <c r="M161" s="50">
        <f t="shared" si="11"/>
        <v>489.9</v>
      </c>
      <c r="N161" s="1" t="e">
        <f>"|"&amp;"PAGTO DOC - "&amp;F161&amp;"|"&amp;"DESP - "&amp;B161&amp;"|"&amp;"CENTRO CUSTO - "&amp;C161&amp;"|"&amp;I161&amp;"|"&amp;G161&amp;"|"&amp;#REF!&amp;"|"&amp;J161&amp;"|"&amp;H161&amp;"|"&amp;K161&amp;"|"&amp;L161&amp;"|"</f>
        <v>#REF!</v>
      </c>
      <c r="O161" s="1" t="str">
        <f t="shared" si="12"/>
        <v>31201005</v>
      </c>
    </row>
    <row r="162" spans="1:15" x14ac:dyDescent="0.3">
      <c r="A162">
        <v>101</v>
      </c>
      <c r="B162" s="66" t="s">
        <v>308</v>
      </c>
      <c r="C162" s="67" t="s">
        <v>407</v>
      </c>
      <c r="D162" s="68"/>
      <c r="E162" s="66"/>
      <c r="F162" s="51">
        <v>130</v>
      </c>
      <c r="G162" s="49"/>
      <c r="H162" s="49"/>
      <c r="I162" s="49"/>
      <c r="J162" s="49"/>
      <c r="K162" s="49" t="str">
        <f t="shared" si="10"/>
        <v>|PAGTO DOC - |PLANO DE SAUDE - SORRISO ODONTO|C CUSTO - 31300|TOTAL: 130|</v>
      </c>
      <c r="L162" s="49"/>
      <c r="M162" s="50">
        <f t="shared" si="11"/>
        <v>130</v>
      </c>
      <c r="N162" s="1" t="e">
        <f>"|"&amp;"PAGTO DOC - "&amp;F162&amp;"|"&amp;"DESP - "&amp;B162&amp;"|"&amp;"CENTRO CUSTO - "&amp;C162&amp;"|"&amp;I162&amp;"|"&amp;G162&amp;"|"&amp;#REF!&amp;"|"&amp;J162&amp;"|"&amp;H162&amp;"|"&amp;K162&amp;"|"&amp;L162&amp;"|"</f>
        <v>#REF!</v>
      </c>
      <c r="O162" s="1" t="str">
        <f t="shared" si="12"/>
        <v>31201005</v>
      </c>
    </row>
    <row r="163" spans="1:15" x14ac:dyDescent="0.3">
      <c r="A163">
        <v>101</v>
      </c>
      <c r="B163" s="66" t="s">
        <v>308</v>
      </c>
      <c r="C163" s="67" t="s">
        <v>355</v>
      </c>
      <c r="D163" s="68"/>
      <c r="E163" s="66"/>
      <c r="F163" s="51">
        <v>198</v>
      </c>
      <c r="G163" s="49"/>
      <c r="H163" s="49"/>
      <c r="I163" s="49"/>
      <c r="J163" s="49"/>
      <c r="K163" s="49" t="str">
        <f t="shared" si="10"/>
        <v>|PAGTO DOC - |PLANO DE SAUDE - SORRISO ODONTO|C CUSTO - 33010|TOTAL: 198|</v>
      </c>
      <c r="L163" s="49"/>
      <c r="M163" s="50">
        <f t="shared" si="11"/>
        <v>198</v>
      </c>
      <c r="N163" s="1" t="e">
        <f>"|"&amp;"PAGTO DOC - "&amp;F163&amp;"|"&amp;"DESP - "&amp;B163&amp;"|"&amp;"CENTRO CUSTO - "&amp;C163&amp;"|"&amp;I163&amp;"|"&amp;G163&amp;"|"&amp;#REF!&amp;"|"&amp;J163&amp;"|"&amp;H163&amp;"|"&amp;K163&amp;"|"&amp;L163&amp;"|"</f>
        <v>#REF!</v>
      </c>
      <c r="O163" s="1" t="str">
        <f t="shared" si="12"/>
        <v>31201005</v>
      </c>
    </row>
    <row r="164" spans="1:15" x14ac:dyDescent="0.3">
      <c r="A164">
        <v>101</v>
      </c>
      <c r="B164" s="66" t="s">
        <v>308</v>
      </c>
      <c r="C164" s="67" t="s">
        <v>408</v>
      </c>
      <c r="D164" s="68"/>
      <c r="E164" s="66"/>
      <c r="F164" s="51">
        <v>129.6</v>
      </c>
      <c r="G164" s="49"/>
      <c r="H164" s="49"/>
      <c r="I164" s="49"/>
      <c r="J164" s="49"/>
      <c r="K164" s="49" t="str">
        <f t="shared" si="10"/>
        <v>|PAGTO DOC - |PLANO DE SAUDE - SORRISO ODONTO|C CUSTO - 33040|TOTAL: 129,6|</v>
      </c>
      <c r="L164" s="49"/>
      <c r="M164" s="50">
        <f t="shared" si="11"/>
        <v>129.6</v>
      </c>
      <c r="N164" s="1" t="e">
        <f>"|"&amp;"PAGTO DOC - "&amp;F164&amp;"|"&amp;"DESP - "&amp;B164&amp;"|"&amp;"CENTRO CUSTO - "&amp;C164&amp;"|"&amp;I164&amp;"|"&amp;G164&amp;"|"&amp;#REF!&amp;"|"&amp;J164&amp;"|"&amp;H164&amp;"|"&amp;K164&amp;"|"&amp;L164&amp;"|"</f>
        <v>#REF!</v>
      </c>
      <c r="O164" s="1" t="str">
        <f t="shared" si="12"/>
        <v>31201005</v>
      </c>
    </row>
    <row r="165" spans="1:15" x14ac:dyDescent="0.3">
      <c r="A165">
        <v>101</v>
      </c>
      <c r="B165" s="66" t="s">
        <v>308</v>
      </c>
      <c r="C165" s="67" t="s">
        <v>356</v>
      </c>
      <c r="D165" s="68"/>
      <c r="E165" s="66"/>
      <c r="F165" s="51">
        <v>90</v>
      </c>
      <c r="G165" s="49"/>
      <c r="H165" s="49"/>
      <c r="I165" s="49"/>
      <c r="J165" s="49"/>
      <c r="K165" s="49" t="str">
        <f t="shared" si="10"/>
        <v>|PAGTO DOC - |PLANO DE SAUDE - SORRISO ODONTO|C CUSTO - 33050|TOTAL: 90|</v>
      </c>
      <c r="L165" s="49"/>
      <c r="M165" s="50">
        <f t="shared" si="11"/>
        <v>90</v>
      </c>
      <c r="N165" s="1" t="e">
        <f>"|"&amp;"PAGTO DOC - "&amp;F165&amp;"|"&amp;"DESP - "&amp;B165&amp;"|"&amp;"CENTRO CUSTO - "&amp;C165&amp;"|"&amp;I165&amp;"|"&amp;G165&amp;"|"&amp;#REF!&amp;"|"&amp;J165&amp;"|"&amp;H165&amp;"|"&amp;K165&amp;"|"&amp;L165&amp;"|"</f>
        <v>#REF!</v>
      </c>
      <c r="O165" s="1" t="str">
        <f t="shared" si="12"/>
        <v>31201005</v>
      </c>
    </row>
    <row r="166" spans="1:15" x14ac:dyDescent="0.3">
      <c r="A166">
        <v>101</v>
      </c>
      <c r="B166" s="66" t="s">
        <v>308</v>
      </c>
      <c r="C166" s="67" t="s">
        <v>357</v>
      </c>
      <c r="D166" s="68"/>
      <c r="E166" s="66"/>
      <c r="F166" s="51">
        <v>187</v>
      </c>
      <c r="G166" s="49"/>
      <c r="H166" s="49"/>
      <c r="I166" s="49"/>
      <c r="J166" s="49"/>
      <c r="K166" s="49" t="str">
        <f t="shared" si="10"/>
        <v>|PAGTO DOC - |PLANO DE SAUDE - SORRISO ODONTO|C CUSTO - 33060|TOTAL: 187|</v>
      </c>
      <c r="L166" s="49"/>
      <c r="M166" s="50">
        <f t="shared" si="11"/>
        <v>187</v>
      </c>
      <c r="N166" s="1" t="e">
        <f>"|"&amp;"PAGTO DOC - "&amp;F166&amp;"|"&amp;"DESP - "&amp;B166&amp;"|"&amp;"CENTRO CUSTO - "&amp;C166&amp;"|"&amp;I166&amp;"|"&amp;G166&amp;"|"&amp;#REF!&amp;"|"&amp;J166&amp;"|"&amp;H166&amp;"|"&amp;K166&amp;"|"&amp;L166&amp;"|"</f>
        <v>#REF!</v>
      </c>
      <c r="O166" s="1" t="str">
        <f t="shared" si="12"/>
        <v>31201005</v>
      </c>
    </row>
    <row r="167" spans="1:15" x14ac:dyDescent="0.3">
      <c r="A167">
        <v>101</v>
      </c>
      <c r="B167" s="66" t="s">
        <v>308</v>
      </c>
      <c r="C167" s="67" t="s">
        <v>409</v>
      </c>
      <c r="D167" s="68"/>
      <c r="E167" s="66"/>
      <c r="F167" s="51">
        <v>75</v>
      </c>
      <c r="G167" s="49"/>
      <c r="H167" s="49"/>
      <c r="I167" s="49"/>
      <c r="J167" s="49"/>
      <c r="K167" s="49" t="str">
        <f t="shared" si="10"/>
        <v>|PAGTO DOC - |PLANO DE SAUDE - SORRISO ODONTO|C CUSTO - 55030|TOTAL: 75|</v>
      </c>
      <c r="L167" s="49"/>
      <c r="M167" s="50">
        <f t="shared" si="11"/>
        <v>75</v>
      </c>
      <c r="N167" s="1" t="e">
        <f>"|"&amp;"PAGTO DOC - "&amp;F167&amp;"|"&amp;"DESP - "&amp;B167&amp;"|"&amp;"CENTRO CUSTO - "&amp;C167&amp;"|"&amp;I167&amp;"|"&amp;G167&amp;"|"&amp;#REF!&amp;"|"&amp;J167&amp;"|"&amp;H167&amp;"|"&amp;K167&amp;"|"&amp;L167&amp;"|"</f>
        <v>#REF!</v>
      </c>
      <c r="O167" s="1" t="str">
        <f t="shared" si="12"/>
        <v>31201005</v>
      </c>
    </row>
    <row r="168" spans="1:15" x14ac:dyDescent="0.3">
      <c r="A168">
        <v>101</v>
      </c>
      <c r="B168" s="66" t="s">
        <v>309</v>
      </c>
      <c r="C168" s="67">
        <v>15056</v>
      </c>
      <c r="D168" s="68"/>
      <c r="E168" s="66"/>
      <c r="F168" s="51">
        <v>43.650000000000006</v>
      </c>
      <c r="G168" s="49"/>
      <c r="H168" s="49"/>
      <c r="I168" s="49"/>
      <c r="J168" s="49"/>
      <c r="K168" s="49" t="str">
        <f t="shared" si="10"/>
        <v>|PAGTO DOC - |PLANO DE SAUDE - UNIMED ODONTO|C CUSTO - 15056|TOTAL: 43,65|</v>
      </c>
      <c r="L168" s="49"/>
      <c r="M168" s="50">
        <f t="shared" si="11"/>
        <v>43.650000000000006</v>
      </c>
      <c r="N168" s="1" t="e">
        <f>"|"&amp;"PAGTO DOC - "&amp;F168&amp;"|"&amp;"DESP - "&amp;B168&amp;"|"&amp;"CENTRO CUSTO - "&amp;C168&amp;"|"&amp;I168&amp;"|"&amp;G168&amp;"|"&amp;#REF!&amp;"|"&amp;J168&amp;"|"&amp;H168&amp;"|"&amp;K168&amp;"|"&amp;L168&amp;"|"</f>
        <v>#REF!</v>
      </c>
      <c r="O168" s="1" t="str">
        <f t="shared" si="12"/>
        <v>31201005</v>
      </c>
    </row>
    <row r="169" spans="1:15" x14ac:dyDescent="0.3">
      <c r="A169">
        <v>101</v>
      </c>
      <c r="B169" s="66" t="s">
        <v>309</v>
      </c>
      <c r="C169" s="67">
        <v>15058</v>
      </c>
      <c r="D169" s="68"/>
      <c r="E169" s="66"/>
      <c r="F169" s="51">
        <v>-14.55</v>
      </c>
      <c r="G169" s="49"/>
      <c r="H169" s="49"/>
      <c r="I169" s="49"/>
      <c r="J169" s="49"/>
      <c r="K169" s="49" t="str">
        <f t="shared" si="10"/>
        <v>|PAGTO DOC - |PLANO DE SAUDE - UNIMED ODONTO|C CUSTO - 15058|TOTAL: -14,55|</v>
      </c>
      <c r="L169" s="49"/>
      <c r="M169" s="50">
        <f t="shared" si="11"/>
        <v>-14.55</v>
      </c>
      <c r="N169" s="1" t="e">
        <f>"|"&amp;"PAGTO DOC - "&amp;F169&amp;"|"&amp;"DESP - "&amp;B169&amp;"|"&amp;"CENTRO CUSTO - "&amp;C169&amp;"|"&amp;I169&amp;"|"&amp;G169&amp;"|"&amp;#REF!&amp;"|"&amp;J169&amp;"|"&amp;H169&amp;"|"&amp;K169&amp;"|"&amp;L169&amp;"|"</f>
        <v>#REF!</v>
      </c>
      <c r="O169" s="1" t="str">
        <f t="shared" si="12"/>
        <v>31201005</v>
      </c>
    </row>
    <row r="170" spans="1:15" x14ac:dyDescent="0.3">
      <c r="A170">
        <v>101</v>
      </c>
      <c r="B170" s="66" t="s">
        <v>309</v>
      </c>
      <c r="C170" s="67" t="s">
        <v>334</v>
      </c>
      <c r="D170" s="68"/>
      <c r="E170" s="66"/>
      <c r="F170" s="51">
        <v>43.650000000000006</v>
      </c>
      <c r="G170" s="49"/>
      <c r="H170" s="49"/>
      <c r="I170" s="49"/>
      <c r="J170" s="49"/>
      <c r="K170" s="49" t="str">
        <f t="shared" si="10"/>
        <v>|PAGTO DOC - |PLANO DE SAUDE - UNIMED ODONTO|C CUSTO - 13012|TOTAL: 43,65|</v>
      </c>
      <c r="L170" s="49"/>
      <c r="M170" s="50">
        <f t="shared" si="11"/>
        <v>43.650000000000006</v>
      </c>
      <c r="N170" s="1" t="e">
        <f>"|"&amp;"PAGTO DOC - "&amp;F170&amp;"|"&amp;"DESP - "&amp;B170&amp;"|"&amp;"CENTRO CUSTO - "&amp;C170&amp;"|"&amp;I170&amp;"|"&amp;G170&amp;"|"&amp;#REF!&amp;"|"&amp;J170&amp;"|"&amp;H170&amp;"|"&amp;K170&amp;"|"&amp;L170&amp;"|"</f>
        <v>#REF!</v>
      </c>
      <c r="O170" s="1" t="str">
        <f t="shared" si="12"/>
        <v>31201005</v>
      </c>
    </row>
    <row r="171" spans="1:15" x14ac:dyDescent="0.3">
      <c r="A171">
        <v>101</v>
      </c>
      <c r="B171" s="66" t="s">
        <v>309</v>
      </c>
      <c r="C171" s="67" t="s">
        <v>336</v>
      </c>
      <c r="D171" s="68"/>
      <c r="E171" s="66"/>
      <c r="F171" s="51">
        <v>43.65</v>
      </c>
      <c r="G171" s="49"/>
      <c r="H171" s="49"/>
      <c r="I171" s="49"/>
      <c r="J171" s="49"/>
      <c r="K171" s="49" t="str">
        <f t="shared" si="10"/>
        <v>|PAGTO DOC - |PLANO DE SAUDE - UNIMED ODONTO|C CUSTO - 13014|TOTAL: 43,65|</v>
      </c>
      <c r="L171" s="49"/>
      <c r="M171" s="50">
        <f t="shared" si="11"/>
        <v>43.65</v>
      </c>
      <c r="N171" s="1" t="e">
        <f>"|"&amp;"PAGTO DOC - "&amp;F171&amp;"|"&amp;"DESP - "&amp;B171&amp;"|"&amp;"CENTRO CUSTO - "&amp;C171&amp;"|"&amp;I171&amp;"|"&amp;G171&amp;"|"&amp;#REF!&amp;"|"&amp;J171&amp;"|"&amp;H171&amp;"|"&amp;K171&amp;"|"&amp;L171&amp;"|"</f>
        <v>#REF!</v>
      </c>
      <c r="O171" s="1" t="str">
        <f t="shared" si="12"/>
        <v>31201005</v>
      </c>
    </row>
    <row r="172" spans="1:15" x14ac:dyDescent="0.3">
      <c r="A172">
        <v>101</v>
      </c>
      <c r="B172" s="66" t="s">
        <v>309</v>
      </c>
      <c r="C172" s="67" t="s">
        <v>337</v>
      </c>
      <c r="D172" s="68"/>
      <c r="E172" s="66"/>
      <c r="F172" s="51">
        <v>43.650000000000006</v>
      </c>
      <c r="G172" s="49"/>
      <c r="H172" s="49"/>
      <c r="I172" s="49"/>
      <c r="J172" s="49"/>
      <c r="K172" s="49" t="str">
        <f t="shared" si="10"/>
        <v>|PAGTO DOC - |PLANO DE SAUDE - UNIMED ODONTO|C CUSTO - 13016|TOTAL: 43,65|</v>
      </c>
      <c r="L172" s="49"/>
      <c r="M172" s="50">
        <f t="shared" si="11"/>
        <v>43.650000000000006</v>
      </c>
      <c r="N172" s="1" t="e">
        <f>"|"&amp;"PAGTO DOC - "&amp;F172&amp;"|"&amp;"DESP - "&amp;B172&amp;"|"&amp;"CENTRO CUSTO - "&amp;C172&amp;"|"&amp;I172&amp;"|"&amp;G172&amp;"|"&amp;#REF!&amp;"|"&amp;J172&amp;"|"&amp;H172&amp;"|"&amp;K172&amp;"|"&amp;L172&amp;"|"</f>
        <v>#REF!</v>
      </c>
      <c r="O172" s="1" t="str">
        <f t="shared" si="12"/>
        <v>31201005</v>
      </c>
    </row>
    <row r="173" spans="1:15" x14ac:dyDescent="0.3">
      <c r="A173">
        <v>101</v>
      </c>
      <c r="B173" s="66" t="s">
        <v>309</v>
      </c>
      <c r="C173" s="67" t="s">
        <v>338</v>
      </c>
      <c r="D173" s="68"/>
      <c r="E173" s="66"/>
      <c r="F173" s="51">
        <v>72.75</v>
      </c>
      <c r="G173" s="49"/>
      <c r="H173" s="49"/>
      <c r="I173" s="49"/>
      <c r="J173" s="49"/>
      <c r="K173" s="49" t="str">
        <f t="shared" si="10"/>
        <v>|PAGTO DOC - |PLANO DE SAUDE - UNIMED ODONTO|C CUSTO - 13018|TOTAL: 72,75|</v>
      </c>
      <c r="L173" s="49"/>
      <c r="M173" s="50">
        <f t="shared" si="11"/>
        <v>72.75</v>
      </c>
      <c r="N173" s="1" t="e">
        <f>"|"&amp;"PAGTO DOC - "&amp;F173&amp;"|"&amp;"DESP - "&amp;B173&amp;"|"&amp;"CENTRO CUSTO - "&amp;C173&amp;"|"&amp;I173&amp;"|"&amp;G173&amp;"|"&amp;#REF!&amp;"|"&amp;J173&amp;"|"&amp;H173&amp;"|"&amp;K173&amp;"|"&amp;L173&amp;"|"</f>
        <v>#REF!</v>
      </c>
      <c r="O173" s="1" t="str">
        <f t="shared" si="12"/>
        <v>31201005</v>
      </c>
    </row>
    <row r="174" spans="1:15" x14ac:dyDescent="0.3">
      <c r="A174">
        <v>101</v>
      </c>
      <c r="B174" s="66" t="s">
        <v>309</v>
      </c>
      <c r="C174" s="67" t="s">
        <v>339</v>
      </c>
      <c r="D174" s="68"/>
      <c r="E174" s="66"/>
      <c r="F174" s="51">
        <v>14.55</v>
      </c>
      <c r="G174" s="49"/>
      <c r="H174" s="49"/>
      <c r="I174" s="49"/>
      <c r="J174" s="49"/>
      <c r="K174" s="49" t="str">
        <f t="shared" si="10"/>
        <v>|PAGTO DOC - |PLANO DE SAUDE - UNIMED ODONTO|C CUSTO - 14012|TOTAL: 14,55|</v>
      </c>
      <c r="L174" s="49"/>
      <c r="M174" s="50">
        <f t="shared" si="11"/>
        <v>14.55</v>
      </c>
      <c r="N174" s="1" t="e">
        <f>"|"&amp;"PAGTO DOC - "&amp;F174&amp;"|"&amp;"DESP - "&amp;B174&amp;"|"&amp;"CENTRO CUSTO - "&amp;C174&amp;"|"&amp;I174&amp;"|"&amp;G174&amp;"|"&amp;#REF!&amp;"|"&amp;J174&amp;"|"&amp;H174&amp;"|"&amp;K174&amp;"|"&amp;L174&amp;"|"</f>
        <v>#REF!</v>
      </c>
      <c r="O174" s="1" t="str">
        <f t="shared" si="12"/>
        <v>31201005</v>
      </c>
    </row>
    <row r="175" spans="1:15" x14ac:dyDescent="0.3">
      <c r="A175">
        <v>101</v>
      </c>
      <c r="B175" s="66" t="s">
        <v>309</v>
      </c>
      <c r="C175" s="67" t="s">
        <v>361</v>
      </c>
      <c r="D175" s="68"/>
      <c r="E175" s="66"/>
      <c r="F175" s="51">
        <v>101.85000000000001</v>
      </c>
      <c r="G175" s="49"/>
      <c r="H175" s="49"/>
      <c r="I175" s="49"/>
      <c r="J175" s="49"/>
      <c r="K175" s="49" t="str">
        <f t="shared" si="10"/>
        <v>|PAGTO DOC - |PLANO DE SAUDE - UNIMED ODONTO|C CUSTO - 14056|TOTAL: 101,85|</v>
      </c>
      <c r="L175" s="49"/>
      <c r="M175" s="50">
        <f t="shared" si="11"/>
        <v>101.85000000000001</v>
      </c>
      <c r="N175" s="1" t="e">
        <f>"|"&amp;"PAGTO DOC - "&amp;F175&amp;"|"&amp;"DESP - "&amp;B175&amp;"|"&amp;"CENTRO CUSTO - "&amp;C175&amp;"|"&amp;I175&amp;"|"&amp;G175&amp;"|"&amp;#REF!&amp;"|"&amp;J175&amp;"|"&amp;H175&amp;"|"&amp;K175&amp;"|"&amp;L175&amp;"|"</f>
        <v>#REF!</v>
      </c>
      <c r="O175" s="1" t="str">
        <f t="shared" si="12"/>
        <v>31201005</v>
      </c>
    </row>
    <row r="176" spans="1:15" x14ac:dyDescent="0.3">
      <c r="A176">
        <v>101</v>
      </c>
      <c r="B176" s="66" t="s">
        <v>309</v>
      </c>
      <c r="C176" s="67" t="s">
        <v>343</v>
      </c>
      <c r="D176" s="68"/>
      <c r="E176" s="66"/>
      <c r="F176" s="51">
        <v>14.55</v>
      </c>
      <c r="G176" s="49"/>
      <c r="H176" s="49"/>
      <c r="I176" s="49"/>
      <c r="J176" s="49"/>
      <c r="K176" s="49" t="str">
        <f t="shared" si="10"/>
        <v>|PAGTO DOC - |PLANO DE SAUDE - UNIMED ODONTO|C CUSTO - 15012|TOTAL: 14,55|</v>
      </c>
      <c r="L176" s="49"/>
      <c r="M176" s="50">
        <f t="shared" si="11"/>
        <v>14.55</v>
      </c>
      <c r="N176" s="1" t="e">
        <f>"|"&amp;"PAGTO DOC - "&amp;F176&amp;"|"&amp;"DESP - "&amp;B176&amp;"|"&amp;"CENTRO CUSTO - "&amp;C176&amp;"|"&amp;I176&amp;"|"&amp;G176&amp;"|"&amp;#REF!&amp;"|"&amp;J176&amp;"|"&amp;H176&amp;"|"&amp;K176&amp;"|"&amp;L176&amp;"|"</f>
        <v>#REF!</v>
      </c>
      <c r="O176" s="1" t="str">
        <f t="shared" si="12"/>
        <v>31201005</v>
      </c>
    </row>
    <row r="177" spans="1:15" x14ac:dyDescent="0.3">
      <c r="A177">
        <v>101</v>
      </c>
      <c r="B177" s="66" t="s">
        <v>309</v>
      </c>
      <c r="C177" s="67" t="s">
        <v>410</v>
      </c>
      <c r="D177" s="68"/>
      <c r="E177" s="66"/>
      <c r="F177" s="51">
        <v>421.95000000000016</v>
      </c>
      <c r="G177" s="49"/>
      <c r="H177" s="49"/>
      <c r="I177" s="49"/>
      <c r="J177" s="49"/>
      <c r="K177" s="49" t="str">
        <f t="shared" si="10"/>
        <v>|PAGTO DOC - |PLANO DE SAUDE - UNIMED ODONTO|C CUSTO - 15050|TOTAL: 421,95|</v>
      </c>
      <c r="L177" s="49"/>
      <c r="M177" s="50">
        <f t="shared" si="11"/>
        <v>421.95000000000016</v>
      </c>
      <c r="N177" s="1" t="e">
        <f>"|"&amp;"PAGTO DOC - "&amp;F177&amp;"|"&amp;"DESP - "&amp;B177&amp;"|"&amp;"CENTRO CUSTO - "&amp;C177&amp;"|"&amp;I177&amp;"|"&amp;G177&amp;"|"&amp;#REF!&amp;"|"&amp;J177&amp;"|"&amp;H177&amp;"|"&amp;K177&amp;"|"&amp;L177&amp;"|"</f>
        <v>#REF!</v>
      </c>
      <c r="O177" s="1" t="str">
        <f t="shared" si="12"/>
        <v>31201005</v>
      </c>
    </row>
    <row r="178" spans="1:15" x14ac:dyDescent="0.3">
      <c r="A178">
        <v>101</v>
      </c>
      <c r="B178" s="66" t="s">
        <v>309</v>
      </c>
      <c r="C178" s="67" t="s">
        <v>403</v>
      </c>
      <c r="D178" s="68"/>
      <c r="E178" s="66"/>
      <c r="F178" s="51">
        <v>247.35000000000011</v>
      </c>
      <c r="G178" s="49"/>
      <c r="H178" s="49"/>
      <c r="I178" s="49"/>
      <c r="J178" s="49"/>
      <c r="K178" s="49" t="str">
        <f t="shared" si="10"/>
        <v>|PAGTO DOC - |PLANO DE SAUDE - UNIMED ODONTO|C CUSTO - 15051|TOTAL: 247,35|</v>
      </c>
      <c r="L178" s="49"/>
      <c r="M178" s="50">
        <f t="shared" si="11"/>
        <v>247.35000000000011</v>
      </c>
      <c r="N178" s="1" t="e">
        <f>"|"&amp;"PAGTO DOC - "&amp;F178&amp;"|"&amp;"DESP - "&amp;B178&amp;"|"&amp;"CENTRO CUSTO - "&amp;C178&amp;"|"&amp;I178&amp;"|"&amp;G178&amp;"|"&amp;#REF!&amp;"|"&amp;J178&amp;"|"&amp;H178&amp;"|"&amp;K178&amp;"|"&amp;L178&amp;"|"</f>
        <v>#REF!</v>
      </c>
      <c r="O178" s="1" t="str">
        <f t="shared" si="12"/>
        <v>31201005</v>
      </c>
    </row>
    <row r="179" spans="1:15" x14ac:dyDescent="0.3">
      <c r="A179">
        <v>101</v>
      </c>
      <c r="B179" s="66" t="s">
        <v>309</v>
      </c>
      <c r="C179" s="67" t="s">
        <v>362</v>
      </c>
      <c r="D179" s="68"/>
      <c r="E179" s="66"/>
      <c r="F179" s="51">
        <v>349.20000000000016</v>
      </c>
      <c r="G179" s="49"/>
      <c r="H179" s="49"/>
      <c r="I179" s="49"/>
      <c r="J179" s="49"/>
      <c r="K179" s="49" t="str">
        <f t="shared" si="10"/>
        <v>|PAGTO DOC - |PLANO DE SAUDE - UNIMED ODONTO|C CUSTO - 15056|TOTAL: 349,2|</v>
      </c>
      <c r="L179" s="49"/>
      <c r="M179" s="50">
        <f t="shared" si="11"/>
        <v>349.20000000000016</v>
      </c>
      <c r="N179" s="1" t="e">
        <f>"|"&amp;"PAGTO DOC - "&amp;F179&amp;"|"&amp;"DESP - "&amp;B179&amp;"|"&amp;"CENTRO CUSTO - "&amp;C179&amp;"|"&amp;I179&amp;"|"&amp;G179&amp;"|"&amp;#REF!&amp;"|"&amp;J179&amp;"|"&amp;H179&amp;"|"&amp;K179&amp;"|"&amp;L179&amp;"|"</f>
        <v>#REF!</v>
      </c>
      <c r="O179" s="1" t="str">
        <f t="shared" si="12"/>
        <v>31201005</v>
      </c>
    </row>
    <row r="180" spans="1:15" x14ac:dyDescent="0.3">
      <c r="A180">
        <v>101</v>
      </c>
      <c r="B180" s="66" t="s">
        <v>309</v>
      </c>
      <c r="C180" s="67" t="s">
        <v>363</v>
      </c>
      <c r="D180" s="68"/>
      <c r="E180" s="66"/>
      <c r="F180" s="51">
        <v>232.80000000000007</v>
      </c>
      <c r="G180" s="49"/>
      <c r="H180" s="49"/>
      <c r="I180" s="49"/>
      <c r="J180" s="49"/>
      <c r="K180" s="49" t="str">
        <f t="shared" si="10"/>
        <v>|PAGTO DOC - |PLANO DE SAUDE - UNIMED ODONTO|C CUSTO - 15058|TOTAL: 232,8|</v>
      </c>
      <c r="L180" s="49"/>
      <c r="M180" s="50">
        <f t="shared" si="11"/>
        <v>232.80000000000007</v>
      </c>
      <c r="N180" s="1" t="e">
        <f>"|"&amp;"PAGTO DOC - "&amp;F180&amp;"|"&amp;"DESP - "&amp;B180&amp;"|"&amp;"CENTRO CUSTO - "&amp;C180&amp;"|"&amp;I180&amp;"|"&amp;G180&amp;"|"&amp;#REF!&amp;"|"&amp;J180&amp;"|"&amp;H180&amp;"|"&amp;K180&amp;"|"&amp;L180&amp;"|"</f>
        <v>#REF!</v>
      </c>
      <c r="O180" s="1" t="str">
        <f t="shared" si="12"/>
        <v>31201005</v>
      </c>
    </row>
    <row r="181" spans="1:15" x14ac:dyDescent="0.3">
      <c r="A181">
        <v>101</v>
      </c>
      <c r="B181" s="66" t="s">
        <v>309</v>
      </c>
      <c r="C181" s="67" t="s">
        <v>372</v>
      </c>
      <c r="D181" s="68"/>
      <c r="E181" s="66"/>
      <c r="F181" s="51">
        <v>247.35000000000005</v>
      </c>
      <c r="G181" s="49"/>
      <c r="H181" s="49"/>
      <c r="I181" s="49"/>
      <c r="J181" s="49"/>
      <c r="K181" s="49" t="str">
        <f t="shared" si="10"/>
        <v>|PAGTO DOC - |PLANO DE SAUDE - UNIMED ODONTO|C CUSTO - 15059|TOTAL: 247,35|</v>
      </c>
      <c r="L181" s="49"/>
      <c r="M181" s="50">
        <f t="shared" si="11"/>
        <v>247.35000000000005</v>
      </c>
      <c r="N181" s="1" t="e">
        <f>"|"&amp;"PAGTO DOC - "&amp;F181&amp;"|"&amp;"DESP - "&amp;B181&amp;"|"&amp;"CENTRO CUSTO - "&amp;C181&amp;"|"&amp;I181&amp;"|"&amp;G181&amp;"|"&amp;#REF!&amp;"|"&amp;J181&amp;"|"&amp;H181&amp;"|"&amp;K181&amp;"|"&amp;L181&amp;"|"</f>
        <v>#REF!</v>
      </c>
      <c r="O181" s="1" t="str">
        <f t="shared" si="12"/>
        <v>31201005</v>
      </c>
    </row>
    <row r="182" spans="1:15" x14ac:dyDescent="0.3">
      <c r="A182">
        <v>101</v>
      </c>
      <c r="B182" s="66" t="s">
        <v>309</v>
      </c>
      <c r="C182" s="67" t="s">
        <v>344</v>
      </c>
      <c r="D182" s="68"/>
      <c r="E182" s="66"/>
      <c r="F182" s="51">
        <v>87.3</v>
      </c>
      <c r="G182" s="49"/>
      <c r="H182" s="49"/>
      <c r="I182" s="49"/>
      <c r="J182" s="49"/>
      <c r="K182" s="49" t="str">
        <f t="shared" si="10"/>
        <v>|PAGTO DOC - |PLANO DE SAUDE - UNIMED ODONTO|C CUSTO - 21011|TOTAL: 87,3|</v>
      </c>
      <c r="L182" s="49"/>
      <c r="M182" s="50">
        <f t="shared" si="11"/>
        <v>87.3</v>
      </c>
      <c r="N182" s="1" t="e">
        <f>"|"&amp;"PAGTO DOC - "&amp;F182&amp;"|"&amp;"DESP - "&amp;B182&amp;"|"&amp;"CENTRO CUSTO - "&amp;C182&amp;"|"&amp;I182&amp;"|"&amp;G182&amp;"|"&amp;#REF!&amp;"|"&amp;J182&amp;"|"&amp;H182&amp;"|"&amp;K182&amp;"|"&amp;L182&amp;"|"</f>
        <v>#REF!</v>
      </c>
      <c r="O182" s="1" t="str">
        <f t="shared" si="12"/>
        <v>31201005</v>
      </c>
    </row>
    <row r="183" spans="1:15" x14ac:dyDescent="0.3">
      <c r="A183">
        <v>101</v>
      </c>
      <c r="B183" s="66" t="s">
        <v>309</v>
      </c>
      <c r="C183" s="67" t="s">
        <v>345</v>
      </c>
      <c r="D183" s="68"/>
      <c r="E183" s="66"/>
      <c r="F183" s="51">
        <v>58.2</v>
      </c>
      <c r="G183" s="49"/>
      <c r="H183" s="49"/>
      <c r="I183" s="49"/>
      <c r="J183" s="49"/>
      <c r="K183" s="49" t="str">
        <f t="shared" si="10"/>
        <v>|PAGTO DOC - |PLANO DE SAUDE - UNIMED ODONTO|C CUSTO - 21012|TOTAL: 58,2|</v>
      </c>
      <c r="L183" s="49"/>
      <c r="M183" s="50">
        <f t="shared" si="11"/>
        <v>58.2</v>
      </c>
      <c r="N183" s="1" t="e">
        <f>"|"&amp;"PAGTO DOC - "&amp;F183&amp;"|"&amp;"DESP - "&amp;B183&amp;"|"&amp;"CENTRO CUSTO - "&amp;C183&amp;"|"&amp;I183&amp;"|"&amp;G183&amp;"|"&amp;#REF!&amp;"|"&amp;J183&amp;"|"&amp;H183&amp;"|"&amp;K183&amp;"|"&amp;L183&amp;"|"</f>
        <v>#REF!</v>
      </c>
      <c r="O183" s="1" t="str">
        <f t="shared" si="12"/>
        <v>31201005</v>
      </c>
    </row>
    <row r="184" spans="1:15" x14ac:dyDescent="0.3">
      <c r="A184">
        <v>101</v>
      </c>
      <c r="B184" s="66" t="s">
        <v>309</v>
      </c>
      <c r="C184" s="67" t="s">
        <v>404</v>
      </c>
      <c r="D184" s="68"/>
      <c r="E184" s="66"/>
      <c r="F184" s="51">
        <v>43.65</v>
      </c>
      <c r="G184" s="49"/>
      <c r="H184" s="49"/>
      <c r="I184" s="49"/>
      <c r="J184" s="49"/>
      <c r="K184" s="49" t="str">
        <f t="shared" ref="K184:K194" si="13">"|"&amp;"PAGTO DOC - "&amp;E184&amp;"|"&amp;"PLANO DE SAUDE - "&amp;B184&amp;"|"&amp;"C CUSTO - "&amp;LEFT(C184,5)&amp;"|"&amp;"TOTAL: "&amp;F184&amp;"|"</f>
        <v>|PAGTO DOC - |PLANO DE SAUDE - UNIMED ODONTO|C CUSTO - 21013|TOTAL: 43,65|</v>
      </c>
      <c r="L184" s="49"/>
      <c r="M184" s="50">
        <f t="shared" si="11"/>
        <v>43.65</v>
      </c>
      <c r="N184" s="1" t="e">
        <f>"|"&amp;"PAGTO DOC - "&amp;F184&amp;"|"&amp;"DESP - "&amp;B184&amp;"|"&amp;"CENTRO CUSTO - "&amp;C184&amp;"|"&amp;I184&amp;"|"&amp;G184&amp;"|"&amp;#REF!&amp;"|"&amp;J184&amp;"|"&amp;H184&amp;"|"&amp;K184&amp;"|"&amp;L184&amp;"|"</f>
        <v>#REF!</v>
      </c>
      <c r="O184" s="1" t="str">
        <f t="shared" si="12"/>
        <v>31201005</v>
      </c>
    </row>
    <row r="185" spans="1:15" x14ac:dyDescent="0.3">
      <c r="A185">
        <v>101</v>
      </c>
      <c r="B185" s="66" t="s">
        <v>309</v>
      </c>
      <c r="C185" s="67" t="s">
        <v>346</v>
      </c>
      <c r="D185" s="68"/>
      <c r="E185" s="66"/>
      <c r="F185" s="51">
        <v>43.65</v>
      </c>
      <c r="G185" s="49"/>
      <c r="H185" s="49"/>
      <c r="I185" s="49"/>
      <c r="J185" s="49"/>
      <c r="K185" s="49" t="str">
        <f t="shared" si="13"/>
        <v>|PAGTO DOC - |PLANO DE SAUDE - UNIMED ODONTO|C CUSTO - 31040|TOTAL: 43,65|</v>
      </c>
      <c r="L185" s="49"/>
      <c r="M185" s="50">
        <f t="shared" ref="M185:M194" si="14">SUM(F185:L185)</f>
        <v>43.65</v>
      </c>
      <c r="N185" s="1" t="e">
        <f>"|"&amp;"PAGTO DOC - "&amp;F185&amp;"|"&amp;"DESP - "&amp;B185&amp;"|"&amp;"CENTRO CUSTO - "&amp;C185&amp;"|"&amp;I185&amp;"|"&amp;G185&amp;"|"&amp;#REF!&amp;"|"&amp;J185&amp;"|"&amp;H185&amp;"|"&amp;K185&amp;"|"&amp;L185&amp;"|"</f>
        <v>#REF!</v>
      </c>
      <c r="O185" s="1" t="str">
        <f t="shared" ref="O185:O194" si="15">IF(M185=0,0,IF(E185="SEGURO DE VIDA EM GRUPO","31201003","31201005"))</f>
        <v>31201005</v>
      </c>
    </row>
    <row r="186" spans="1:15" x14ac:dyDescent="0.3">
      <c r="A186">
        <v>101</v>
      </c>
      <c r="B186" s="66" t="s">
        <v>309</v>
      </c>
      <c r="C186" s="67" t="s">
        <v>347</v>
      </c>
      <c r="D186" s="68"/>
      <c r="E186" s="66"/>
      <c r="F186" s="51">
        <v>261.90000000000003</v>
      </c>
      <c r="G186" s="49"/>
      <c r="H186" s="49"/>
      <c r="I186" s="49"/>
      <c r="J186" s="49"/>
      <c r="K186" s="49" t="str">
        <f t="shared" si="13"/>
        <v>|PAGTO DOC - |PLANO DE SAUDE - UNIMED ODONTO|C CUSTO - 31060|TOTAL: 261,9|</v>
      </c>
      <c r="L186" s="49"/>
      <c r="M186" s="50">
        <f t="shared" si="14"/>
        <v>261.90000000000003</v>
      </c>
      <c r="N186" s="1" t="e">
        <f>"|"&amp;"PAGTO DOC - "&amp;F186&amp;"|"&amp;"DESP - "&amp;B186&amp;"|"&amp;"CENTRO CUSTO - "&amp;C186&amp;"|"&amp;I186&amp;"|"&amp;G186&amp;"|"&amp;#REF!&amp;"|"&amp;J186&amp;"|"&amp;H186&amp;"|"&amp;K186&amp;"|"&amp;L186&amp;"|"</f>
        <v>#REF!</v>
      </c>
      <c r="O186" s="1" t="str">
        <f t="shared" si="15"/>
        <v>31201005</v>
      </c>
    </row>
    <row r="187" spans="1:15" x14ac:dyDescent="0.3">
      <c r="A187">
        <v>101</v>
      </c>
      <c r="B187" s="66" t="s">
        <v>309</v>
      </c>
      <c r="C187" s="67" t="s">
        <v>348</v>
      </c>
      <c r="D187" s="68"/>
      <c r="E187" s="66"/>
      <c r="F187" s="51">
        <v>58.2</v>
      </c>
      <c r="G187" s="49"/>
      <c r="H187" s="49"/>
      <c r="I187" s="49"/>
      <c r="J187" s="49"/>
      <c r="K187" s="49" t="str">
        <f t="shared" si="13"/>
        <v>|PAGTO DOC - |PLANO DE SAUDE - UNIMED ODONTO|C CUSTO - 31070|TOTAL: 58,2|</v>
      </c>
      <c r="L187" s="49"/>
      <c r="M187" s="50">
        <f t="shared" si="14"/>
        <v>58.2</v>
      </c>
      <c r="N187" s="1" t="e">
        <f>"|"&amp;"PAGTO DOC - "&amp;F187&amp;"|"&amp;"DESP - "&amp;B187&amp;"|"&amp;"CENTRO CUSTO - "&amp;C187&amp;"|"&amp;I187&amp;"|"&amp;G187&amp;"|"&amp;#REF!&amp;"|"&amp;J187&amp;"|"&amp;H187&amp;"|"&amp;K187&amp;"|"&amp;L187&amp;"|"</f>
        <v>#REF!</v>
      </c>
      <c r="O187" s="1" t="str">
        <f t="shared" si="15"/>
        <v>31201005</v>
      </c>
    </row>
    <row r="188" spans="1:15" x14ac:dyDescent="0.3">
      <c r="A188">
        <v>101</v>
      </c>
      <c r="B188" s="66" t="s">
        <v>309</v>
      </c>
      <c r="C188" s="67" t="s">
        <v>349</v>
      </c>
      <c r="D188" s="68"/>
      <c r="E188" s="66"/>
      <c r="F188" s="51">
        <v>43.650000000000006</v>
      </c>
      <c r="G188" s="49"/>
      <c r="H188" s="49"/>
      <c r="I188" s="49"/>
      <c r="J188" s="49"/>
      <c r="K188" s="49" t="str">
        <f t="shared" si="13"/>
        <v>|PAGTO DOC - |PLANO DE SAUDE - UNIMED ODONTO|C CUSTO - 31090|TOTAL: 43,65|</v>
      </c>
      <c r="L188" s="49"/>
      <c r="M188" s="50">
        <f t="shared" si="14"/>
        <v>43.650000000000006</v>
      </c>
      <c r="N188" s="1" t="e">
        <f>"|"&amp;"PAGTO DOC - "&amp;F188&amp;"|"&amp;"DESP - "&amp;B188&amp;"|"&amp;"CENTRO CUSTO - "&amp;C188&amp;"|"&amp;I188&amp;"|"&amp;G188&amp;"|"&amp;#REF!&amp;"|"&amp;J188&amp;"|"&amp;H188&amp;"|"&amp;K188&amp;"|"&amp;L188&amp;"|"</f>
        <v>#REF!</v>
      </c>
      <c r="O188" s="1" t="str">
        <f t="shared" si="15"/>
        <v>31201005</v>
      </c>
    </row>
    <row r="189" spans="1:15" x14ac:dyDescent="0.3">
      <c r="A189">
        <v>101</v>
      </c>
      <c r="B189" s="66" t="s">
        <v>309</v>
      </c>
      <c r="C189" s="67" t="s">
        <v>350</v>
      </c>
      <c r="D189" s="68"/>
      <c r="E189" s="66"/>
      <c r="F189" s="51">
        <v>14.55</v>
      </c>
      <c r="G189" s="49"/>
      <c r="H189" s="49"/>
      <c r="I189" s="49"/>
      <c r="J189" s="49"/>
      <c r="K189" s="49" t="str">
        <f t="shared" si="13"/>
        <v>|PAGTO DOC - |PLANO DE SAUDE - UNIMED ODONTO|C CUSTO - 31111|TOTAL: 14,55|</v>
      </c>
      <c r="L189" s="49"/>
      <c r="M189" s="50">
        <f t="shared" si="14"/>
        <v>14.55</v>
      </c>
      <c r="N189" s="1" t="e">
        <f>"|"&amp;"PAGTO DOC - "&amp;F189&amp;"|"&amp;"DESP - "&amp;B189&amp;"|"&amp;"CENTRO CUSTO - "&amp;C189&amp;"|"&amp;I189&amp;"|"&amp;G189&amp;"|"&amp;#REF!&amp;"|"&amp;J189&amp;"|"&amp;H189&amp;"|"&amp;K189&amp;"|"&amp;L189&amp;"|"</f>
        <v>#REF!</v>
      </c>
      <c r="O189" s="1" t="str">
        <f t="shared" si="15"/>
        <v>31201005</v>
      </c>
    </row>
    <row r="190" spans="1:15" x14ac:dyDescent="0.3">
      <c r="A190">
        <v>101</v>
      </c>
      <c r="B190" s="66" t="s">
        <v>309</v>
      </c>
      <c r="C190" s="67" t="s">
        <v>353</v>
      </c>
      <c r="D190" s="68"/>
      <c r="E190" s="66"/>
      <c r="F190" s="51">
        <v>43.65</v>
      </c>
      <c r="G190" s="49"/>
      <c r="H190" s="49"/>
      <c r="I190" s="49"/>
      <c r="J190" s="49"/>
      <c r="K190" s="49" t="str">
        <f t="shared" si="13"/>
        <v>|PAGTO DOC - |PLANO DE SAUDE - UNIMED ODONTO|C CUSTO - 31116|TOTAL: 43,65|</v>
      </c>
      <c r="L190" s="49"/>
      <c r="M190" s="50">
        <f t="shared" si="14"/>
        <v>43.65</v>
      </c>
      <c r="N190" s="1" t="e">
        <f>"|"&amp;"PAGTO DOC - "&amp;F190&amp;"|"&amp;"DESP - "&amp;B190&amp;"|"&amp;"CENTRO CUSTO - "&amp;C190&amp;"|"&amp;I190&amp;"|"&amp;G190&amp;"|"&amp;#REF!&amp;"|"&amp;J190&amp;"|"&amp;H190&amp;"|"&amp;K190&amp;"|"&amp;L190&amp;"|"</f>
        <v>#REF!</v>
      </c>
      <c r="O190" s="1" t="str">
        <f t="shared" si="15"/>
        <v>31201005</v>
      </c>
    </row>
    <row r="191" spans="1:15" x14ac:dyDescent="0.3">
      <c r="A191">
        <v>101</v>
      </c>
      <c r="B191" s="66" t="s">
        <v>309</v>
      </c>
      <c r="C191" s="67" t="s">
        <v>407</v>
      </c>
      <c r="D191" s="68"/>
      <c r="E191" s="66"/>
      <c r="F191" s="51">
        <v>14.55</v>
      </c>
      <c r="G191" s="49"/>
      <c r="H191" s="49"/>
      <c r="I191" s="49"/>
      <c r="J191" s="49"/>
      <c r="K191" s="49" t="str">
        <f t="shared" si="13"/>
        <v>|PAGTO DOC - |PLANO DE SAUDE - UNIMED ODONTO|C CUSTO - 31300|TOTAL: 14,55|</v>
      </c>
      <c r="L191" s="49"/>
      <c r="M191" s="50">
        <f t="shared" si="14"/>
        <v>14.55</v>
      </c>
      <c r="N191" s="1" t="e">
        <f>"|"&amp;"PAGTO DOC - "&amp;F191&amp;"|"&amp;"DESP - "&amp;B191&amp;"|"&amp;"CENTRO CUSTO - "&amp;C191&amp;"|"&amp;I191&amp;"|"&amp;G191&amp;"|"&amp;#REF!&amp;"|"&amp;J191&amp;"|"&amp;H191&amp;"|"&amp;K191&amp;"|"&amp;L191&amp;"|"</f>
        <v>#REF!</v>
      </c>
      <c r="O191" s="1" t="str">
        <f t="shared" si="15"/>
        <v>31201005</v>
      </c>
    </row>
    <row r="192" spans="1:15" x14ac:dyDescent="0.3">
      <c r="A192">
        <v>101</v>
      </c>
      <c r="B192" s="66" t="s">
        <v>309</v>
      </c>
      <c r="C192" s="67" t="s">
        <v>355</v>
      </c>
      <c r="D192" s="68"/>
      <c r="E192" s="66"/>
      <c r="F192" s="51">
        <v>349.20000000000005</v>
      </c>
      <c r="G192" s="49"/>
      <c r="H192" s="49"/>
      <c r="I192" s="49"/>
      <c r="J192" s="49"/>
      <c r="K192" s="49" t="str">
        <f t="shared" si="13"/>
        <v>|PAGTO DOC - |PLANO DE SAUDE - UNIMED ODONTO|C CUSTO - 33010|TOTAL: 349,2|</v>
      </c>
      <c r="L192" s="49"/>
      <c r="M192" s="50">
        <f t="shared" si="14"/>
        <v>349.20000000000005</v>
      </c>
      <c r="N192" s="1" t="e">
        <f>"|"&amp;"PAGTO DOC - "&amp;F192&amp;"|"&amp;"DESP - "&amp;B192&amp;"|"&amp;"CENTRO CUSTO - "&amp;C192&amp;"|"&amp;I192&amp;"|"&amp;G192&amp;"|"&amp;#REF!&amp;"|"&amp;J192&amp;"|"&amp;H192&amp;"|"&amp;K192&amp;"|"&amp;L192&amp;"|"</f>
        <v>#REF!</v>
      </c>
      <c r="O192" s="1" t="str">
        <f t="shared" si="15"/>
        <v>31201005</v>
      </c>
    </row>
    <row r="193" spans="1:15" x14ac:dyDescent="0.3">
      <c r="A193">
        <v>101</v>
      </c>
      <c r="B193" s="66" t="s">
        <v>309</v>
      </c>
      <c r="C193" s="67" t="s">
        <v>356</v>
      </c>
      <c r="D193" s="68"/>
      <c r="E193" s="66"/>
      <c r="F193" s="51">
        <v>189.15000000000003</v>
      </c>
      <c r="G193" s="49"/>
      <c r="H193" s="49"/>
      <c r="I193" s="49"/>
      <c r="J193" s="49"/>
      <c r="K193" s="49" t="str">
        <f t="shared" si="13"/>
        <v>|PAGTO DOC - |PLANO DE SAUDE - UNIMED ODONTO|C CUSTO - 33050|TOTAL: 189,15|</v>
      </c>
      <c r="L193" s="49"/>
      <c r="M193" s="50">
        <f t="shared" si="14"/>
        <v>189.15000000000003</v>
      </c>
      <c r="N193" s="1" t="e">
        <f>"|"&amp;"PAGTO DOC - "&amp;F193&amp;"|"&amp;"DESP - "&amp;B193&amp;"|"&amp;"CENTRO CUSTO - "&amp;C193&amp;"|"&amp;I193&amp;"|"&amp;G193&amp;"|"&amp;#REF!&amp;"|"&amp;J193&amp;"|"&amp;H193&amp;"|"&amp;K193&amp;"|"&amp;L193&amp;"|"</f>
        <v>#REF!</v>
      </c>
      <c r="O193" s="1" t="str">
        <f t="shared" si="15"/>
        <v>31201005</v>
      </c>
    </row>
    <row r="194" spans="1:15" x14ac:dyDescent="0.3">
      <c r="A194">
        <v>101</v>
      </c>
      <c r="B194" s="66" t="s">
        <v>309</v>
      </c>
      <c r="C194" s="67" t="s">
        <v>357</v>
      </c>
      <c r="D194" s="68"/>
      <c r="E194" s="66"/>
      <c r="F194" s="51">
        <v>29.1</v>
      </c>
      <c r="G194" s="49"/>
      <c r="H194" s="49"/>
      <c r="I194" s="49"/>
      <c r="J194" s="49"/>
      <c r="K194" s="49" t="str">
        <f t="shared" si="13"/>
        <v>|PAGTO DOC - |PLANO DE SAUDE - UNIMED ODONTO|C CUSTO - 33060|TOTAL: 29,1|</v>
      </c>
      <c r="L194" s="49"/>
      <c r="M194" s="50">
        <f t="shared" si="14"/>
        <v>29.1</v>
      </c>
      <c r="N194" s="1" t="e">
        <f>"|"&amp;"PAGTO DOC - "&amp;F194&amp;"|"&amp;"DESP - "&amp;B194&amp;"|"&amp;"CENTRO CUSTO - "&amp;C194&amp;"|"&amp;I194&amp;"|"&amp;G194&amp;"|"&amp;#REF!&amp;"|"&amp;J194&amp;"|"&amp;H194&amp;"|"&amp;K194&amp;"|"&amp;L194&amp;"|"</f>
        <v>#REF!</v>
      </c>
      <c r="O194" s="1" t="str">
        <f t="shared" si="15"/>
        <v>31201005</v>
      </c>
    </row>
    <row r="195" spans="1:15" x14ac:dyDescent="0.3">
      <c r="A195">
        <v>106</v>
      </c>
      <c r="B195" s="66" t="s">
        <v>309</v>
      </c>
      <c r="C195" s="67" t="s">
        <v>367</v>
      </c>
      <c r="D195" s="68"/>
      <c r="E195" s="66"/>
      <c r="F195" s="51">
        <v>43.65</v>
      </c>
      <c r="G195" s="49"/>
      <c r="H195" s="49"/>
      <c r="I195" s="49"/>
      <c r="J195" s="49"/>
      <c r="K195" s="49" t="str">
        <f t="shared" ref="K195:K211" si="16">"|"&amp;"PAGTO DOC - "&amp;E195&amp;"|"&amp;"PLANO DE SAUDE - "&amp;B195&amp;"|"&amp;"C CUSTO - "&amp;LEFT(C195,5)&amp;"|"&amp;"TOTAL: "&amp;F195&amp;"|"</f>
        <v>|PAGTO DOC - |PLANO DE SAUDE - UNIMED ODONTO|C CUSTO - 32003|TOTAL: 43,65|</v>
      </c>
      <c r="L195" s="49"/>
      <c r="M195" s="50">
        <f t="shared" ref="M195:M211" si="17">SUM(F195:L195)</f>
        <v>43.65</v>
      </c>
      <c r="N195" s="1" t="e">
        <f>"|"&amp;"PAGTO DOC - "&amp;F195&amp;"|"&amp;"DESP - "&amp;B195&amp;"|"&amp;"CENTRO CUSTO - "&amp;C195&amp;"|"&amp;I195&amp;"|"&amp;G195&amp;"|"&amp;#REF!&amp;"|"&amp;J195&amp;"|"&amp;H195&amp;"|"&amp;K195&amp;"|"&amp;L195&amp;"|"</f>
        <v>#REF!</v>
      </c>
      <c r="O195" s="1" t="str">
        <f t="shared" ref="O195:O211" si="18">IF(M195=0,0,IF(E195="SEGURO DE VIDA EM GRUPO","31201003","31201005"))</f>
        <v>31201005</v>
      </c>
    </row>
    <row r="196" spans="1:15" x14ac:dyDescent="0.3">
      <c r="A196">
        <v>106</v>
      </c>
      <c r="B196" s="66" t="s">
        <v>309</v>
      </c>
      <c r="C196" s="67">
        <v>22002</v>
      </c>
      <c r="D196" s="68"/>
      <c r="E196" s="66"/>
      <c r="F196" s="51">
        <v>68.53</v>
      </c>
      <c r="G196" s="49"/>
      <c r="H196" s="49"/>
      <c r="I196" s="49"/>
      <c r="J196" s="49"/>
      <c r="K196" s="49" t="str">
        <f t="shared" si="16"/>
        <v>|PAGTO DOC - |PLANO DE SAUDE - UNIMED ODONTO|C CUSTO - 22002|TOTAL: 68,53|</v>
      </c>
      <c r="L196" s="49"/>
      <c r="M196" s="50">
        <f t="shared" si="17"/>
        <v>68.53</v>
      </c>
      <c r="N196" s="1" t="e">
        <f>"|"&amp;"PAGTO DOC - "&amp;F196&amp;"|"&amp;"DESP - "&amp;B196&amp;"|"&amp;"CENTRO CUSTO - "&amp;C196&amp;"|"&amp;I196&amp;"|"&amp;G196&amp;"|"&amp;#REF!&amp;"|"&amp;J196&amp;"|"&amp;H196&amp;"|"&amp;K196&amp;"|"&amp;L196&amp;"|"</f>
        <v>#REF!</v>
      </c>
      <c r="O196" s="1" t="str">
        <f t="shared" si="18"/>
        <v>31201005</v>
      </c>
    </row>
    <row r="197" spans="1:15" x14ac:dyDescent="0.3">
      <c r="A197">
        <v>106</v>
      </c>
      <c r="B197" s="66" t="s">
        <v>309</v>
      </c>
      <c r="C197" s="67">
        <v>32001</v>
      </c>
      <c r="D197" s="68"/>
      <c r="E197" s="66"/>
      <c r="F197" s="51">
        <v>160.05000000000001</v>
      </c>
      <c r="G197" s="49"/>
      <c r="H197" s="49"/>
      <c r="I197" s="49"/>
      <c r="J197" s="49"/>
      <c r="K197" s="49" t="str">
        <f t="shared" si="16"/>
        <v>|PAGTO DOC - |PLANO DE SAUDE - UNIMED ODONTO|C CUSTO - 32001|TOTAL: 160,05|</v>
      </c>
      <c r="L197" s="49"/>
      <c r="M197" s="50">
        <f t="shared" si="17"/>
        <v>160.05000000000001</v>
      </c>
      <c r="N197" s="1" t="e">
        <f>"|"&amp;"PAGTO DOC - "&amp;F197&amp;"|"&amp;"DESP - "&amp;B197&amp;"|"&amp;"CENTRO CUSTO - "&amp;C197&amp;"|"&amp;I197&amp;"|"&amp;G197&amp;"|"&amp;#REF!&amp;"|"&amp;J197&amp;"|"&amp;H197&amp;"|"&amp;K197&amp;"|"&amp;L197&amp;"|"</f>
        <v>#REF!</v>
      </c>
      <c r="O197" s="1" t="str">
        <f t="shared" si="18"/>
        <v>31201005</v>
      </c>
    </row>
    <row r="198" spans="1:15" x14ac:dyDescent="0.3">
      <c r="A198">
        <v>106</v>
      </c>
      <c r="B198" s="66" t="s">
        <v>309</v>
      </c>
      <c r="C198" s="67">
        <v>32002</v>
      </c>
      <c r="D198" s="68"/>
      <c r="E198" s="66"/>
      <c r="F198" s="51">
        <v>421.95</v>
      </c>
      <c r="G198" s="49"/>
      <c r="H198" s="49"/>
      <c r="I198" s="49"/>
      <c r="J198" s="49"/>
      <c r="K198" s="49" t="str">
        <f t="shared" si="16"/>
        <v>|PAGTO DOC - |PLANO DE SAUDE - UNIMED ODONTO|C CUSTO - 32002|TOTAL: 421,95|</v>
      </c>
      <c r="L198" s="49"/>
      <c r="M198" s="50">
        <f t="shared" si="17"/>
        <v>421.95</v>
      </c>
      <c r="N198" s="1" t="e">
        <f>"|"&amp;"PAGTO DOC - "&amp;F198&amp;"|"&amp;"DESP - "&amp;B198&amp;"|"&amp;"CENTRO CUSTO - "&amp;C198&amp;"|"&amp;I198&amp;"|"&amp;G198&amp;"|"&amp;#REF!&amp;"|"&amp;J198&amp;"|"&amp;H198&amp;"|"&amp;K198&amp;"|"&amp;L198&amp;"|"</f>
        <v>#REF!</v>
      </c>
      <c r="O198" s="1" t="str">
        <f t="shared" si="18"/>
        <v>31201005</v>
      </c>
    </row>
    <row r="199" spans="1:15" x14ac:dyDescent="0.3">
      <c r="A199">
        <v>106</v>
      </c>
      <c r="B199" s="66" t="s">
        <v>309</v>
      </c>
      <c r="C199" s="67">
        <v>32007</v>
      </c>
      <c r="D199" s="68"/>
      <c r="E199" s="66"/>
      <c r="F199" s="51">
        <v>334.65</v>
      </c>
      <c r="G199" s="49"/>
      <c r="H199" s="49"/>
      <c r="I199" s="49"/>
      <c r="J199" s="49"/>
      <c r="K199" s="49" t="str">
        <f t="shared" si="16"/>
        <v>|PAGTO DOC - |PLANO DE SAUDE - UNIMED ODONTO|C CUSTO - 32007|TOTAL: 334,65|</v>
      </c>
      <c r="L199" s="49"/>
      <c r="M199" s="50">
        <f t="shared" si="17"/>
        <v>334.65</v>
      </c>
      <c r="N199" s="1" t="e">
        <f>"|"&amp;"PAGTO DOC - "&amp;F199&amp;"|"&amp;"DESP - "&amp;B199&amp;"|"&amp;"CENTRO CUSTO - "&amp;C199&amp;"|"&amp;I199&amp;"|"&amp;G199&amp;"|"&amp;#REF!&amp;"|"&amp;J199&amp;"|"&amp;H199&amp;"|"&amp;K199&amp;"|"&amp;L199&amp;"|"</f>
        <v>#REF!</v>
      </c>
      <c r="O199" s="1" t="str">
        <f t="shared" si="18"/>
        <v>31201005</v>
      </c>
    </row>
    <row r="200" spans="1:15" x14ac:dyDescent="0.3">
      <c r="A200">
        <v>106</v>
      </c>
      <c r="B200" s="66" t="s">
        <v>309</v>
      </c>
      <c r="C200" s="67">
        <v>32003</v>
      </c>
      <c r="D200" s="68"/>
      <c r="E200" s="66"/>
      <c r="F200" s="51">
        <v>641.14</v>
      </c>
      <c r="G200" s="49"/>
      <c r="H200" s="49"/>
      <c r="I200" s="49"/>
      <c r="J200" s="49"/>
      <c r="K200" s="49" t="str">
        <f t="shared" si="16"/>
        <v>|PAGTO DOC - |PLANO DE SAUDE - UNIMED ODONTO|C CUSTO - 32003|TOTAL: 641,14|</v>
      </c>
      <c r="L200" s="49"/>
      <c r="M200" s="50">
        <f t="shared" si="17"/>
        <v>641.14</v>
      </c>
      <c r="N200" s="1" t="e">
        <f>"|"&amp;"PAGTO DOC - "&amp;F200&amp;"|"&amp;"DESP - "&amp;B200&amp;"|"&amp;"CENTRO CUSTO - "&amp;C200&amp;"|"&amp;I200&amp;"|"&amp;G200&amp;"|"&amp;#REF!&amp;"|"&amp;J200&amp;"|"&amp;H200&amp;"|"&amp;K200&amp;"|"&amp;L200&amp;"|"</f>
        <v>#REF!</v>
      </c>
      <c r="O200" s="1" t="str">
        <f t="shared" si="18"/>
        <v>31201005</v>
      </c>
    </row>
    <row r="201" spans="1:15" x14ac:dyDescent="0.3">
      <c r="A201">
        <v>106</v>
      </c>
      <c r="B201" s="66" t="s">
        <v>309</v>
      </c>
      <c r="C201" s="67">
        <v>32100</v>
      </c>
      <c r="D201" s="68"/>
      <c r="E201" s="66"/>
      <c r="F201" s="51">
        <v>58.2</v>
      </c>
      <c r="G201" s="49"/>
      <c r="H201" s="49"/>
      <c r="I201" s="49"/>
      <c r="J201" s="49"/>
      <c r="K201" s="49" t="str">
        <f t="shared" si="16"/>
        <v>|PAGTO DOC - |PLANO DE SAUDE - UNIMED ODONTO|C CUSTO - 32100|TOTAL: 58,2|</v>
      </c>
      <c r="L201" s="49"/>
      <c r="M201" s="50">
        <f t="shared" si="17"/>
        <v>58.2</v>
      </c>
      <c r="N201" s="1" t="e">
        <f>"|"&amp;"PAGTO DOC - "&amp;F201&amp;"|"&amp;"DESP - "&amp;B201&amp;"|"&amp;"CENTRO CUSTO - "&amp;C201&amp;"|"&amp;I201&amp;"|"&amp;G201&amp;"|"&amp;#REF!&amp;"|"&amp;J201&amp;"|"&amp;H201&amp;"|"&amp;K201&amp;"|"&amp;L201&amp;"|"</f>
        <v>#REF!</v>
      </c>
      <c r="O201" s="1" t="str">
        <f t="shared" si="18"/>
        <v>31201005</v>
      </c>
    </row>
    <row r="202" spans="1:15" x14ac:dyDescent="0.3">
      <c r="A202">
        <v>106</v>
      </c>
      <c r="B202" s="66" t="s">
        <v>309</v>
      </c>
      <c r="C202" s="67" t="s">
        <v>335</v>
      </c>
      <c r="D202" s="68"/>
      <c r="E202" s="66"/>
      <c r="F202" s="51">
        <v>29.1</v>
      </c>
      <c r="G202" s="49"/>
      <c r="H202" s="49"/>
      <c r="I202" s="49"/>
      <c r="J202" s="49"/>
      <c r="K202" s="49" t="str">
        <f t="shared" si="16"/>
        <v>|PAGTO DOC - |PLANO DE SAUDE - UNIMED ODONTO|C CUSTO - 13013|TOTAL: 29,1|</v>
      </c>
      <c r="L202" s="49"/>
      <c r="M202" s="50">
        <f t="shared" si="17"/>
        <v>29.1</v>
      </c>
      <c r="N202" s="1" t="e">
        <f>"|"&amp;"PAGTO DOC - "&amp;F202&amp;"|"&amp;"DESP - "&amp;B202&amp;"|"&amp;"CENTRO CUSTO - "&amp;C202&amp;"|"&amp;I202&amp;"|"&amp;G202&amp;"|"&amp;#REF!&amp;"|"&amp;J202&amp;"|"&amp;H202&amp;"|"&amp;K202&amp;"|"&amp;L202&amp;"|"</f>
        <v>#REF!</v>
      </c>
      <c r="O202" s="1" t="str">
        <f t="shared" si="18"/>
        <v>31201005</v>
      </c>
    </row>
    <row r="203" spans="1:15" x14ac:dyDescent="0.3">
      <c r="A203">
        <v>106</v>
      </c>
      <c r="B203" s="66" t="s">
        <v>309</v>
      </c>
      <c r="C203" s="67">
        <v>32001</v>
      </c>
      <c r="D203" s="68"/>
      <c r="E203" s="66"/>
      <c r="F203" s="51">
        <v>87.3</v>
      </c>
      <c r="G203" s="49"/>
      <c r="H203" s="49"/>
      <c r="I203" s="49"/>
      <c r="J203" s="49"/>
      <c r="K203" s="49" t="str">
        <f t="shared" si="16"/>
        <v>|PAGTO DOC - |PLANO DE SAUDE - UNIMED ODONTO|C CUSTO - 32001|TOTAL: 87,3|</v>
      </c>
      <c r="L203" s="49"/>
      <c r="M203" s="50">
        <f t="shared" si="17"/>
        <v>87.3</v>
      </c>
      <c r="N203" s="1" t="e">
        <f>"|"&amp;"PAGTO DOC - "&amp;F203&amp;"|"&amp;"DESP - "&amp;B203&amp;"|"&amp;"CENTRO CUSTO - "&amp;C203&amp;"|"&amp;I203&amp;"|"&amp;G203&amp;"|"&amp;#REF!&amp;"|"&amp;J203&amp;"|"&amp;H203&amp;"|"&amp;K203&amp;"|"&amp;L203&amp;"|"</f>
        <v>#REF!</v>
      </c>
      <c r="O203" s="1" t="str">
        <f t="shared" si="18"/>
        <v>31201005</v>
      </c>
    </row>
    <row r="204" spans="1:15" x14ac:dyDescent="0.3">
      <c r="A204">
        <v>104</v>
      </c>
      <c r="B204" s="66" t="s">
        <v>331</v>
      </c>
      <c r="C204" s="67">
        <v>22002</v>
      </c>
      <c r="D204" s="68"/>
      <c r="E204" s="66"/>
      <c r="F204" s="51">
        <v>1725.98</v>
      </c>
      <c r="G204" s="49"/>
      <c r="H204" s="49"/>
      <c r="I204" s="49"/>
      <c r="J204" s="49"/>
      <c r="K204" s="49" t="str">
        <f t="shared" si="16"/>
        <v>|PAGTO DOC - |PLANO DE SAUDE - UNIMED CAPIXABA|C CUSTO - 22002|TOTAL: 1725,98|</v>
      </c>
      <c r="L204" s="49"/>
      <c r="M204" s="50">
        <f t="shared" si="17"/>
        <v>1725.98</v>
      </c>
      <c r="N204" s="1" t="e">
        <f>"|"&amp;"PAGTO DOC - "&amp;F204&amp;"|"&amp;"DESP - "&amp;B204&amp;"|"&amp;"CENTRO CUSTO - "&amp;C204&amp;"|"&amp;I204&amp;"|"&amp;G204&amp;"|"&amp;#REF!&amp;"|"&amp;J204&amp;"|"&amp;H204&amp;"|"&amp;K204&amp;"|"&amp;L204&amp;"|"</f>
        <v>#REF!</v>
      </c>
      <c r="O204" s="1" t="str">
        <f t="shared" si="18"/>
        <v>31201005</v>
      </c>
    </row>
    <row r="205" spans="1:15" x14ac:dyDescent="0.3">
      <c r="A205">
        <v>106</v>
      </c>
      <c r="B205" s="66" t="s">
        <v>331</v>
      </c>
      <c r="C205" s="67" t="s">
        <v>335</v>
      </c>
      <c r="D205" s="68"/>
      <c r="E205" s="66"/>
      <c r="F205" s="51">
        <v>627.78</v>
      </c>
      <c r="G205" s="49"/>
      <c r="H205" s="49"/>
      <c r="I205" s="49"/>
      <c r="J205" s="49"/>
      <c r="K205" s="49" t="str">
        <f t="shared" si="16"/>
        <v>|PAGTO DOC - |PLANO DE SAUDE - UNIMED CAPIXABA|C CUSTO - 13013|TOTAL: 627,78|</v>
      </c>
      <c r="L205" s="49"/>
      <c r="M205" s="50">
        <f t="shared" si="17"/>
        <v>627.78</v>
      </c>
      <c r="N205" s="1" t="e">
        <f>"|"&amp;"PAGTO DOC - "&amp;F205&amp;"|"&amp;"DESP - "&amp;B205&amp;"|"&amp;"CENTRO CUSTO - "&amp;C205&amp;"|"&amp;I205&amp;"|"&amp;G205&amp;"|"&amp;#REF!&amp;"|"&amp;J205&amp;"|"&amp;H205&amp;"|"&amp;K205&amp;"|"&amp;L205&amp;"|"</f>
        <v>#REF!</v>
      </c>
      <c r="O205" s="1" t="str">
        <f t="shared" si="18"/>
        <v>31201005</v>
      </c>
    </row>
    <row r="206" spans="1:15" x14ac:dyDescent="0.3">
      <c r="A206">
        <v>106</v>
      </c>
      <c r="B206" s="66" t="s">
        <v>331</v>
      </c>
      <c r="C206" s="67" t="s">
        <v>365</v>
      </c>
      <c r="D206" s="68"/>
      <c r="E206" s="66"/>
      <c r="F206" s="51">
        <v>1275.6300000000001</v>
      </c>
      <c r="G206" s="49"/>
      <c r="H206" s="49"/>
      <c r="I206" s="49"/>
      <c r="J206" s="49"/>
      <c r="K206" s="49" t="str">
        <f t="shared" si="16"/>
        <v>|PAGTO DOC - |PLANO DE SAUDE - UNIMED CAPIXABA|C CUSTO - 32001|TOTAL: 1275,63|</v>
      </c>
      <c r="L206" s="49"/>
      <c r="M206" s="50">
        <f t="shared" si="17"/>
        <v>1275.6300000000001</v>
      </c>
      <c r="N206" s="1" t="e">
        <f>"|"&amp;"PAGTO DOC - "&amp;F206&amp;"|"&amp;"DESP - "&amp;B206&amp;"|"&amp;"CENTRO CUSTO - "&amp;C206&amp;"|"&amp;I206&amp;"|"&amp;G206&amp;"|"&amp;#REF!&amp;"|"&amp;J206&amp;"|"&amp;H206&amp;"|"&amp;K206&amp;"|"&amp;L206&amp;"|"</f>
        <v>#REF!</v>
      </c>
      <c r="O206" s="1" t="str">
        <f t="shared" si="18"/>
        <v>31201005</v>
      </c>
    </row>
    <row r="207" spans="1:15" x14ac:dyDescent="0.3">
      <c r="A207">
        <v>106</v>
      </c>
      <c r="B207" s="66" t="s">
        <v>331</v>
      </c>
      <c r="C207" s="67" t="s">
        <v>366</v>
      </c>
      <c r="D207" s="68"/>
      <c r="E207" s="66"/>
      <c r="F207" s="51">
        <v>7297.04</v>
      </c>
      <c r="G207" s="49"/>
      <c r="H207" s="49"/>
      <c r="I207" s="49"/>
      <c r="J207" s="49"/>
      <c r="K207" s="49" t="str">
        <f t="shared" si="16"/>
        <v>|PAGTO DOC - |PLANO DE SAUDE - UNIMED CAPIXABA|C CUSTO - 32002|TOTAL: 7297,04|</v>
      </c>
      <c r="L207" s="49"/>
      <c r="M207" s="50">
        <f t="shared" si="17"/>
        <v>7297.04</v>
      </c>
      <c r="N207" s="1" t="e">
        <f>"|"&amp;"PAGTO DOC - "&amp;F207&amp;"|"&amp;"DESP - "&amp;B207&amp;"|"&amp;"CENTRO CUSTO - "&amp;C207&amp;"|"&amp;I207&amp;"|"&amp;G207&amp;"|"&amp;#REF!&amp;"|"&amp;J207&amp;"|"&amp;H207&amp;"|"&amp;K207&amp;"|"&amp;L207&amp;"|"</f>
        <v>#REF!</v>
      </c>
      <c r="O207" s="1" t="str">
        <f t="shared" si="18"/>
        <v>31201005</v>
      </c>
    </row>
    <row r="208" spans="1:15" x14ac:dyDescent="0.3">
      <c r="A208">
        <v>106</v>
      </c>
      <c r="B208" s="66" t="s">
        <v>331</v>
      </c>
      <c r="C208" s="67" t="s">
        <v>367</v>
      </c>
      <c r="D208" s="68"/>
      <c r="E208" s="66"/>
      <c r="F208" s="51">
        <v>5276.25</v>
      </c>
      <c r="G208" s="49"/>
      <c r="H208" s="49"/>
      <c r="I208" s="49"/>
      <c r="J208" s="49"/>
      <c r="K208" s="49" t="str">
        <f t="shared" si="16"/>
        <v>|PAGTO DOC - |PLANO DE SAUDE - UNIMED CAPIXABA|C CUSTO - 32003|TOTAL: 5276,25|</v>
      </c>
      <c r="L208" s="49"/>
      <c r="M208" s="50">
        <f t="shared" si="17"/>
        <v>5276.25</v>
      </c>
      <c r="N208" s="1" t="e">
        <f>"|"&amp;"PAGTO DOC - "&amp;F208&amp;"|"&amp;"DESP - "&amp;B208&amp;"|"&amp;"CENTRO CUSTO - "&amp;C208&amp;"|"&amp;I208&amp;"|"&amp;G208&amp;"|"&amp;#REF!&amp;"|"&amp;J208&amp;"|"&amp;H208&amp;"|"&amp;K208&amp;"|"&amp;L208&amp;"|"</f>
        <v>#REF!</v>
      </c>
      <c r="O208" s="1" t="str">
        <f t="shared" si="18"/>
        <v>31201005</v>
      </c>
    </row>
    <row r="209" spans="1:15" x14ac:dyDescent="0.3">
      <c r="A209">
        <v>106</v>
      </c>
      <c r="B209" s="66" t="s">
        <v>331</v>
      </c>
      <c r="C209" s="67" t="s">
        <v>368</v>
      </c>
      <c r="D209" s="68"/>
      <c r="E209" s="66"/>
      <c r="F209" s="51">
        <v>4354.03</v>
      </c>
      <c r="G209" s="49"/>
      <c r="H209" s="49"/>
      <c r="I209" s="49"/>
      <c r="J209" s="49"/>
      <c r="K209" s="49" t="str">
        <f t="shared" si="16"/>
        <v>|PAGTO DOC - |PLANO DE SAUDE - UNIMED CAPIXABA|C CUSTO - 32007|TOTAL: 4354,03|</v>
      </c>
      <c r="L209" s="49"/>
      <c r="M209" s="50">
        <f t="shared" si="17"/>
        <v>4354.03</v>
      </c>
      <c r="N209" s="1" t="e">
        <f>"|"&amp;"PAGTO DOC - "&amp;F209&amp;"|"&amp;"DESP - "&amp;B209&amp;"|"&amp;"CENTRO CUSTO - "&amp;C209&amp;"|"&amp;I209&amp;"|"&amp;G209&amp;"|"&amp;#REF!&amp;"|"&amp;J209&amp;"|"&amp;H209&amp;"|"&amp;K209&amp;"|"&amp;L209&amp;"|"</f>
        <v>#REF!</v>
      </c>
      <c r="O209" s="1" t="str">
        <f t="shared" si="18"/>
        <v>31201005</v>
      </c>
    </row>
    <row r="210" spans="1:15" x14ac:dyDescent="0.3">
      <c r="A210">
        <v>106</v>
      </c>
      <c r="B210" s="66" t="s">
        <v>331</v>
      </c>
      <c r="C210" s="67" t="s">
        <v>369</v>
      </c>
      <c r="D210" s="68"/>
      <c r="E210" s="66"/>
      <c r="F210" s="51">
        <v>1580.65</v>
      </c>
      <c r="G210" s="49"/>
      <c r="H210" s="49"/>
      <c r="I210" s="49"/>
      <c r="J210" s="49"/>
      <c r="K210" s="49" t="str">
        <f t="shared" si="16"/>
        <v>|PAGTO DOC - |PLANO DE SAUDE - UNIMED CAPIXABA|C CUSTO - 32100|TOTAL: 1580,65|</v>
      </c>
      <c r="L210" s="49"/>
      <c r="M210" s="50">
        <f t="shared" si="17"/>
        <v>1580.65</v>
      </c>
      <c r="N210" s="1" t="e">
        <f>"|"&amp;"PAGTO DOC - "&amp;F210&amp;"|"&amp;"DESP - "&amp;B210&amp;"|"&amp;"CENTRO CUSTO - "&amp;C210&amp;"|"&amp;I210&amp;"|"&amp;G210&amp;"|"&amp;#REF!&amp;"|"&amp;J210&amp;"|"&amp;H210&amp;"|"&amp;K210&amp;"|"&amp;L210&amp;"|"</f>
        <v>#REF!</v>
      </c>
      <c r="O210" s="1" t="str">
        <f t="shared" si="18"/>
        <v>31201005</v>
      </c>
    </row>
    <row r="211" spans="1:15" x14ac:dyDescent="0.3">
      <c r="A211">
        <v>106</v>
      </c>
      <c r="B211" s="66" t="s">
        <v>331</v>
      </c>
      <c r="C211" s="67">
        <v>34001</v>
      </c>
      <c r="D211" s="68"/>
      <c r="E211" s="66"/>
      <c r="F211" s="51">
        <v>1237.33</v>
      </c>
      <c r="G211" s="49"/>
      <c r="H211" s="49"/>
      <c r="I211" s="49"/>
      <c r="J211" s="49"/>
      <c r="K211" s="49" t="str">
        <f t="shared" si="16"/>
        <v>|PAGTO DOC - |PLANO DE SAUDE - UNIMED CAPIXABA|C CUSTO - 34001|TOTAL: 1237,33|</v>
      </c>
      <c r="L211" s="49"/>
      <c r="M211" s="50">
        <f t="shared" si="17"/>
        <v>1237.33</v>
      </c>
      <c r="N211" s="1" t="e">
        <f>"|"&amp;"PAGTO DOC - "&amp;F211&amp;"|"&amp;"DESP - "&amp;B211&amp;"|"&amp;"CENTRO CUSTO - "&amp;C211&amp;"|"&amp;I211&amp;"|"&amp;G211&amp;"|"&amp;#REF!&amp;"|"&amp;J211&amp;"|"&amp;H211&amp;"|"&amp;K211&amp;"|"&amp;L211&amp;"|"</f>
        <v>#REF!</v>
      </c>
      <c r="O211" s="1" t="str">
        <f t="shared" si="18"/>
        <v>31201005</v>
      </c>
    </row>
  </sheetData>
  <autoFilter ref="A3:O211" xr:uid="{00000000-0001-0000-0000-000000000000}"/>
  <mergeCells count="1">
    <mergeCell ref="B2:C2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6C98B-7788-4B8D-A254-FDA29D76E542}">
  <dimension ref="A1:N222"/>
  <sheetViews>
    <sheetView zoomScaleNormal="100" workbookViewId="0">
      <selection activeCell="B3" sqref="B3"/>
    </sheetView>
  </sheetViews>
  <sheetFormatPr defaultRowHeight="14.4" x14ac:dyDescent="0.3"/>
  <cols>
    <col min="1" max="1" width="8.6640625" style="54" bestFit="1" customWidth="1"/>
    <col min="2" max="2" width="26.109375" style="54" bestFit="1" customWidth="1"/>
    <col min="3" max="3" width="8.109375" style="55" bestFit="1" customWidth="1"/>
    <col min="4" max="4" width="10.6640625" style="59" bestFit="1" customWidth="1"/>
    <col min="5" max="5" width="26.109375" style="54" bestFit="1" customWidth="1"/>
    <col min="6" max="6" width="13.33203125" style="73" bestFit="1" customWidth="1"/>
    <col min="7" max="7" width="7.33203125" style="54" bestFit="1" customWidth="1"/>
    <col min="8" max="8" width="8.33203125" style="54" bestFit="1" customWidth="1"/>
    <col min="9" max="9" width="7.44140625" style="54" bestFit="1" customWidth="1"/>
    <col min="10" max="10" width="6.88671875" style="54" bestFit="1" customWidth="1"/>
    <col min="11" max="12" width="8.88671875" style="54"/>
    <col min="13" max="13" width="10.5546875" style="73" bestFit="1" customWidth="1"/>
    <col min="14" max="14" width="9" bestFit="1" customWidth="1"/>
  </cols>
  <sheetData>
    <row r="1" spans="1:14" x14ac:dyDescent="0.3">
      <c r="F1" s="73">
        <f>SUM(F3:F243)</f>
        <v>291294.10000000021</v>
      </c>
    </row>
    <row r="2" spans="1:14" x14ac:dyDescent="0.3">
      <c r="A2" s="74" t="s">
        <v>283</v>
      </c>
      <c r="B2" s="56" t="s">
        <v>3</v>
      </c>
      <c r="C2" s="57" t="s">
        <v>1</v>
      </c>
      <c r="D2" s="75" t="s">
        <v>5</v>
      </c>
      <c r="E2" s="63" t="s">
        <v>6</v>
      </c>
      <c r="F2" s="76" t="s">
        <v>7</v>
      </c>
      <c r="G2" s="77" t="s">
        <v>8</v>
      </c>
      <c r="H2" s="77" t="s">
        <v>9</v>
      </c>
      <c r="I2" s="77" t="s">
        <v>10</v>
      </c>
      <c r="J2" s="77" t="s">
        <v>11</v>
      </c>
      <c r="K2" s="77" t="s">
        <v>328</v>
      </c>
      <c r="L2" s="77" t="s">
        <v>329</v>
      </c>
      <c r="M2" s="76" t="s">
        <v>2</v>
      </c>
      <c r="N2" s="3" t="s">
        <v>15</v>
      </c>
    </row>
    <row r="3" spans="1:14" x14ac:dyDescent="0.3">
      <c r="A3" s="54">
        <v>101</v>
      </c>
      <c r="B3" s="54" t="s">
        <v>12</v>
      </c>
      <c r="C3" s="58">
        <v>13021</v>
      </c>
      <c r="E3" s="54" t="s">
        <v>12</v>
      </c>
      <c r="F3" s="78">
        <v>546.96</v>
      </c>
      <c r="G3" s="79"/>
      <c r="H3" s="79"/>
      <c r="I3" s="79"/>
      <c r="J3" s="79"/>
      <c r="K3" s="79"/>
      <c r="L3" s="79"/>
      <c r="M3" s="80">
        <f t="shared" ref="M3" si="0">F3</f>
        <v>546.96</v>
      </c>
      <c r="N3" t="str">
        <f t="shared" ref="N3" si="1">IF(B3="SEGURO DE VIDA EM GRUPO","31201003","31201005")</f>
        <v>31201005</v>
      </c>
    </row>
    <row r="4" spans="1:14" x14ac:dyDescent="0.3">
      <c r="A4" s="54">
        <v>101</v>
      </c>
      <c r="B4" s="54" t="s">
        <v>12</v>
      </c>
      <c r="C4" s="58">
        <v>14051</v>
      </c>
      <c r="E4" s="54" t="s">
        <v>12</v>
      </c>
      <c r="F4" s="78">
        <v>2161.2600000000002</v>
      </c>
      <c r="G4" s="79"/>
      <c r="H4" s="79"/>
      <c r="I4" s="79"/>
      <c r="J4" s="79"/>
      <c r="K4" s="79"/>
      <c r="L4" s="79"/>
      <c r="M4" s="80">
        <f t="shared" ref="M4:M74" si="2">F4</f>
        <v>2161.2600000000002</v>
      </c>
      <c r="N4" t="str">
        <f t="shared" ref="N4:N74" si="3">IF(B4="SEGURO DE VIDA EM GRUPO","31201003","31201005")</f>
        <v>31201005</v>
      </c>
    </row>
    <row r="5" spans="1:14" x14ac:dyDescent="0.3">
      <c r="A5" s="54">
        <v>101</v>
      </c>
      <c r="B5" s="54" t="s">
        <v>12</v>
      </c>
      <c r="C5" s="58">
        <v>14058</v>
      </c>
      <c r="E5" s="54" t="s">
        <v>12</v>
      </c>
      <c r="F5" s="78">
        <v>2014.32</v>
      </c>
      <c r="G5" s="79"/>
      <c r="H5" s="79"/>
      <c r="I5" s="79"/>
      <c r="J5" s="79"/>
      <c r="K5" s="79"/>
      <c r="L5" s="79"/>
      <c r="M5" s="80">
        <f t="shared" si="2"/>
        <v>2014.32</v>
      </c>
      <c r="N5" t="str">
        <f t="shared" si="3"/>
        <v>31201005</v>
      </c>
    </row>
    <row r="6" spans="1:14" x14ac:dyDescent="0.3">
      <c r="A6" s="54">
        <v>101</v>
      </c>
      <c r="B6" s="54" t="s">
        <v>12</v>
      </c>
      <c r="C6" s="58">
        <v>31060</v>
      </c>
      <c r="E6" s="54" t="s">
        <v>12</v>
      </c>
      <c r="F6" s="78">
        <v>546.96</v>
      </c>
      <c r="G6" s="79"/>
      <c r="H6" s="79"/>
      <c r="I6" s="79"/>
      <c r="J6" s="79"/>
      <c r="K6" s="79"/>
      <c r="L6" s="79"/>
      <c r="M6" s="80">
        <f t="shared" si="2"/>
        <v>546.96</v>
      </c>
      <c r="N6" t="str">
        <f t="shared" si="3"/>
        <v>31201005</v>
      </c>
    </row>
    <row r="7" spans="1:14" x14ac:dyDescent="0.3">
      <c r="A7" s="54">
        <v>101</v>
      </c>
      <c r="B7" s="54" t="s">
        <v>12</v>
      </c>
      <c r="C7" s="58">
        <v>31070</v>
      </c>
      <c r="E7" s="54" t="s">
        <v>12</v>
      </c>
      <c r="F7" s="78">
        <v>546.96</v>
      </c>
      <c r="G7" s="79"/>
      <c r="H7" s="79"/>
      <c r="I7" s="79"/>
      <c r="J7" s="79"/>
      <c r="K7" s="79"/>
      <c r="L7" s="79"/>
      <c r="M7" s="80">
        <f t="shared" si="2"/>
        <v>546.96</v>
      </c>
      <c r="N7" t="str">
        <f t="shared" si="3"/>
        <v>31201005</v>
      </c>
    </row>
    <row r="8" spans="1:14" x14ac:dyDescent="0.3">
      <c r="A8" s="54">
        <v>101</v>
      </c>
      <c r="B8" s="54" t="s">
        <v>12</v>
      </c>
      <c r="C8" s="58">
        <v>31114</v>
      </c>
      <c r="E8" s="54" t="s">
        <v>12</v>
      </c>
      <c r="F8" s="78">
        <v>2417.1400000000003</v>
      </c>
      <c r="G8" s="79"/>
      <c r="H8" s="79"/>
      <c r="I8" s="79"/>
      <c r="J8" s="79"/>
      <c r="K8" s="79"/>
      <c r="L8" s="79"/>
      <c r="M8" s="80">
        <f t="shared" si="2"/>
        <v>2417.1400000000003</v>
      </c>
      <c r="N8" t="str">
        <f t="shared" si="3"/>
        <v>31201005</v>
      </c>
    </row>
    <row r="9" spans="1:14" x14ac:dyDescent="0.3">
      <c r="A9" s="54">
        <v>101</v>
      </c>
      <c r="B9" s="54" t="s">
        <v>12</v>
      </c>
      <c r="C9" s="58" t="s">
        <v>332</v>
      </c>
      <c r="E9" s="54" t="s">
        <v>12</v>
      </c>
      <c r="F9" s="78">
        <v>1093.92</v>
      </c>
      <c r="G9" s="79"/>
      <c r="H9" s="79"/>
      <c r="I9" s="79"/>
      <c r="J9" s="79"/>
      <c r="K9" s="79"/>
      <c r="L9" s="79"/>
      <c r="M9" s="80">
        <f t="shared" si="2"/>
        <v>1093.92</v>
      </c>
      <c r="N9" t="str">
        <f t="shared" si="3"/>
        <v>31201005</v>
      </c>
    </row>
    <row r="10" spans="1:14" x14ac:dyDescent="0.3">
      <c r="A10" s="54">
        <v>101</v>
      </c>
      <c r="B10" s="54" t="s">
        <v>12</v>
      </c>
      <c r="C10" s="58" t="s">
        <v>333</v>
      </c>
      <c r="E10" s="54" t="s">
        <v>12</v>
      </c>
      <c r="F10" s="78">
        <v>1323.22</v>
      </c>
      <c r="G10" s="79"/>
      <c r="H10" s="79"/>
      <c r="I10" s="79"/>
      <c r="J10" s="79"/>
      <c r="K10" s="79"/>
      <c r="L10" s="79"/>
      <c r="M10" s="80">
        <f t="shared" si="2"/>
        <v>1323.22</v>
      </c>
      <c r="N10" t="str">
        <f t="shared" si="3"/>
        <v>31201005</v>
      </c>
    </row>
    <row r="11" spans="1:14" x14ac:dyDescent="0.3">
      <c r="A11" s="54">
        <v>101</v>
      </c>
      <c r="B11" s="54" t="s">
        <v>12</v>
      </c>
      <c r="C11" s="58" t="s">
        <v>334</v>
      </c>
      <c r="E11" s="54" t="s">
        <v>12</v>
      </c>
      <c r="F11" s="78">
        <v>1005.56</v>
      </c>
      <c r="G11" s="79"/>
      <c r="H11" s="79"/>
      <c r="I11" s="79"/>
      <c r="J11" s="79"/>
      <c r="K11" s="79"/>
      <c r="L11" s="79"/>
      <c r="M11" s="80">
        <f t="shared" si="2"/>
        <v>1005.56</v>
      </c>
      <c r="N11" t="str">
        <f t="shared" si="3"/>
        <v>31201005</v>
      </c>
    </row>
    <row r="12" spans="1:14" x14ac:dyDescent="0.3">
      <c r="A12" s="54">
        <v>101</v>
      </c>
      <c r="B12" s="54" t="s">
        <v>12</v>
      </c>
      <c r="C12" s="58" t="s">
        <v>335</v>
      </c>
      <c r="E12" s="54" t="s">
        <v>12</v>
      </c>
      <c r="F12" s="78">
        <v>8067.4400000000005</v>
      </c>
      <c r="G12" s="79"/>
      <c r="H12" s="79"/>
      <c r="I12" s="79"/>
      <c r="J12" s="79"/>
      <c r="K12" s="79"/>
      <c r="L12" s="79"/>
      <c r="M12" s="80">
        <f t="shared" si="2"/>
        <v>8067.4400000000005</v>
      </c>
      <c r="N12" t="str">
        <f t="shared" si="3"/>
        <v>31201005</v>
      </c>
    </row>
    <row r="13" spans="1:14" x14ac:dyDescent="0.3">
      <c r="A13" s="54">
        <v>101</v>
      </c>
      <c r="B13" s="54" t="s">
        <v>12</v>
      </c>
      <c r="C13" s="58" t="s">
        <v>336</v>
      </c>
      <c r="E13" s="54" t="s">
        <v>12</v>
      </c>
      <c r="F13" s="78">
        <v>2187.84</v>
      </c>
      <c r="G13" s="79"/>
      <c r="H13" s="79"/>
      <c r="I13" s="79"/>
      <c r="J13" s="79"/>
      <c r="K13" s="79"/>
      <c r="L13" s="79"/>
      <c r="M13" s="80">
        <f t="shared" si="2"/>
        <v>2187.84</v>
      </c>
      <c r="N13" t="str">
        <f t="shared" si="3"/>
        <v>31201005</v>
      </c>
    </row>
    <row r="14" spans="1:14" x14ac:dyDescent="0.3">
      <c r="A14" s="54">
        <v>101</v>
      </c>
      <c r="B14" s="54" t="s">
        <v>12</v>
      </c>
      <c r="C14" s="58" t="s">
        <v>337</v>
      </c>
      <c r="E14" s="54" t="s">
        <v>12</v>
      </c>
      <c r="F14" s="78">
        <v>1464.16</v>
      </c>
      <c r="G14" s="79"/>
      <c r="H14" s="79"/>
      <c r="I14" s="79"/>
      <c r="J14" s="79"/>
      <c r="K14" s="79"/>
      <c r="L14" s="79"/>
      <c r="M14" s="80">
        <f t="shared" si="2"/>
        <v>1464.16</v>
      </c>
      <c r="N14" t="str">
        <f t="shared" si="3"/>
        <v>31201005</v>
      </c>
    </row>
    <row r="15" spans="1:14" x14ac:dyDescent="0.3">
      <c r="A15" s="54">
        <v>101</v>
      </c>
      <c r="B15" s="54" t="s">
        <v>12</v>
      </c>
      <c r="C15" s="58" t="s">
        <v>400</v>
      </c>
      <c r="E15" s="54" t="s">
        <v>12</v>
      </c>
      <c r="F15" s="78">
        <v>1640.88</v>
      </c>
      <c r="G15" s="79"/>
      <c r="H15" s="79"/>
      <c r="I15" s="79"/>
      <c r="J15" s="79"/>
      <c r="K15" s="79"/>
      <c r="L15" s="79"/>
      <c r="M15" s="80">
        <f t="shared" si="2"/>
        <v>1640.88</v>
      </c>
      <c r="N15" t="str">
        <f t="shared" si="3"/>
        <v>31201005</v>
      </c>
    </row>
    <row r="16" spans="1:14" x14ac:dyDescent="0.3">
      <c r="A16" s="54">
        <v>101</v>
      </c>
      <c r="B16" s="54" t="s">
        <v>12</v>
      </c>
      <c r="C16" s="58" t="s">
        <v>338</v>
      </c>
      <c r="E16" s="54" t="s">
        <v>12</v>
      </c>
      <c r="F16" s="78">
        <v>1005.5600000000001</v>
      </c>
      <c r="G16" s="79"/>
      <c r="H16" s="79"/>
      <c r="I16" s="79"/>
      <c r="J16" s="79"/>
      <c r="K16" s="79"/>
      <c r="L16" s="79"/>
      <c r="M16" s="80">
        <f t="shared" si="2"/>
        <v>1005.5600000000001</v>
      </c>
      <c r="N16" t="str">
        <f t="shared" si="3"/>
        <v>31201005</v>
      </c>
    </row>
    <row r="17" spans="1:14" x14ac:dyDescent="0.3">
      <c r="A17" s="54">
        <v>101</v>
      </c>
      <c r="B17" s="54" t="s">
        <v>12</v>
      </c>
      <c r="C17" s="58" t="s">
        <v>401</v>
      </c>
      <c r="E17" s="54" t="s">
        <v>12</v>
      </c>
      <c r="F17" s="78">
        <v>776.26</v>
      </c>
      <c r="G17" s="79"/>
      <c r="H17" s="79"/>
      <c r="I17" s="79"/>
      <c r="J17" s="79"/>
      <c r="K17" s="79"/>
      <c r="L17" s="79"/>
      <c r="M17" s="80">
        <f t="shared" si="2"/>
        <v>776.26</v>
      </c>
      <c r="N17" t="str">
        <f t="shared" si="3"/>
        <v>31201005</v>
      </c>
    </row>
    <row r="18" spans="1:14" x14ac:dyDescent="0.3">
      <c r="A18" s="54">
        <v>101</v>
      </c>
      <c r="B18" s="54" t="s">
        <v>12</v>
      </c>
      <c r="C18" s="58" t="s">
        <v>402</v>
      </c>
      <c r="E18" s="54" t="s">
        <v>12</v>
      </c>
      <c r="F18" s="78">
        <v>2646.4400000000005</v>
      </c>
      <c r="G18" s="79"/>
      <c r="H18" s="79"/>
      <c r="I18" s="79"/>
      <c r="J18" s="79"/>
      <c r="K18" s="79"/>
      <c r="L18" s="79"/>
      <c r="M18" s="80">
        <f t="shared" si="2"/>
        <v>2646.4400000000005</v>
      </c>
      <c r="N18" t="str">
        <f t="shared" si="3"/>
        <v>31201005</v>
      </c>
    </row>
    <row r="19" spans="1:14" x14ac:dyDescent="0.3">
      <c r="A19" s="54">
        <v>101</v>
      </c>
      <c r="B19" s="54" t="s">
        <v>12</v>
      </c>
      <c r="C19" s="58" t="s">
        <v>339</v>
      </c>
      <c r="E19" s="54" t="s">
        <v>12</v>
      </c>
      <c r="F19" s="78">
        <v>1870.18</v>
      </c>
      <c r="G19" s="79"/>
      <c r="H19" s="79"/>
      <c r="I19" s="79"/>
      <c r="J19" s="79"/>
      <c r="K19" s="79"/>
      <c r="L19" s="79"/>
      <c r="M19" s="80">
        <f t="shared" si="2"/>
        <v>1870.18</v>
      </c>
      <c r="N19" t="str">
        <f t="shared" si="3"/>
        <v>31201005</v>
      </c>
    </row>
    <row r="20" spans="1:14" x14ac:dyDescent="0.3">
      <c r="A20" s="54">
        <v>101</v>
      </c>
      <c r="B20" s="54" t="s">
        <v>12</v>
      </c>
      <c r="C20" s="58" t="s">
        <v>340</v>
      </c>
      <c r="E20" s="54" t="s">
        <v>12</v>
      </c>
      <c r="F20" s="78">
        <v>2707.02</v>
      </c>
      <c r="G20" s="79"/>
      <c r="H20" s="79"/>
      <c r="I20" s="79"/>
      <c r="J20" s="79"/>
      <c r="K20" s="79"/>
      <c r="L20" s="79"/>
      <c r="M20" s="80">
        <f t="shared" si="2"/>
        <v>2707.02</v>
      </c>
      <c r="N20" t="str">
        <f t="shared" si="3"/>
        <v>31201005</v>
      </c>
    </row>
    <row r="21" spans="1:14" x14ac:dyDescent="0.3">
      <c r="A21" s="54">
        <v>101</v>
      </c>
      <c r="B21" s="54" t="s">
        <v>12</v>
      </c>
      <c r="C21" s="58" t="s">
        <v>403</v>
      </c>
      <c r="E21" s="54" t="s">
        <v>12</v>
      </c>
      <c r="F21" s="78">
        <v>229.3</v>
      </c>
      <c r="G21" s="79"/>
      <c r="H21" s="79"/>
      <c r="I21" s="79"/>
      <c r="J21" s="79"/>
      <c r="K21" s="79"/>
      <c r="L21" s="79"/>
      <c r="M21" s="80">
        <f t="shared" si="2"/>
        <v>229.3</v>
      </c>
      <c r="N21" t="str">
        <f t="shared" si="3"/>
        <v>31201005</v>
      </c>
    </row>
    <row r="22" spans="1:14" x14ac:dyDescent="0.3">
      <c r="A22" s="54">
        <v>101</v>
      </c>
      <c r="B22" s="54" t="s">
        <v>12</v>
      </c>
      <c r="C22" s="58" t="s">
        <v>344</v>
      </c>
      <c r="E22" s="54" t="s">
        <v>12</v>
      </c>
      <c r="F22" s="78">
        <v>458.6</v>
      </c>
      <c r="G22" s="79"/>
      <c r="H22" s="79"/>
      <c r="I22" s="79"/>
      <c r="J22" s="79"/>
      <c r="K22" s="79"/>
      <c r="L22" s="79"/>
      <c r="M22" s="80">
        <f t="shared" si="2"/>
        <v>458.6</v>
      </c>
      <c r="N22" t="str">
        <f t="shared" si="3"/>
        <v>31201005</v>
      </c>
    </row>
    <row r="23" spans="1:14" x14ac:dyDescent="0.3">
      <c r="A23" s="54">
        <v>101</v>
      </c>
      <c r="B23" s="54" t="s">
        <v>12</v>
      </c>
      <c r="C23" s="58" t="s">
        <v>345</v>
      </c>
      <c r="E23" s="54" t="s">
        <v>12</v>
      </c>
      <c r="F23" s="78">
        <v>3652</v>
      </c>
      <c r="G23" s="79"/>
      <c r="H23" s="79"/>
      <c r="I23" s="79"/>
      <c r="J23" s="79"/>
      <c r="K23" s="79"/>
      <c r="L23" s="79"/>
      <c r="M23" s="80">
        <f t="shared" si="2"/>
        <v>3652</v>
      </c>
      <c r="N23" t="str">
        <f t="shared" si="3"/>
        <v>31201005</v>
      </c>
    </row>
    <row r="24" spans="1:14" x14ac:dyDescent="0.3">
      <c r="A24" s="54">
        <v>101</v>
      </c>
      <c r="B24" s="54" t="s">
        <v>12</v>
      </c>
      <c r="C24" s="58" t="s">
        <v>404</v>
      </c>
      <c r="E24" s="54" t="s">
        <v>12</v>
      </c>
      <c r="F24" s="78">
        <v>1093.92</v>
      </c>
      <c r="G24" s="79"/>
      <c r="H24" s="79"/>
      <c r="I24" s="79"/>
      <c r="J24" s="79"/>
      <c r="K24" s="79"/>
      <c r="L24" s="79"/>
      <c r="M24" s="80">
        <f t="shared" si="2"/>
        <v>1093.92</v>
      </c>
      <c r="N24" t="str">
        <f t="shared" si="3"/>
        <v>31201005</v>
      </c>
    </row>
    <row r="25" spans="1:14" x14ac:dyDescent="0.3">
      <c r="A25" s="54">
        <v>101</v>
      </c>
      <c r="B25" s="54" t="s">
        <v>12</v>
      </c>
      <c r="C25" s="58" t="s">
        <v>346</v>
      </c>
      <c r="E25" s="54" t="s">
        <v>12</v>
      </c>
      <c r="F25" s="78">
        <v>1968.24</v>
      </c>
      <c r="G25" s="79"/>
      <c r="H25" s="79"/>
      <c r="I25" s="79"/>
      <c r="J25" s="79"/>
      <c r="K25" s="79"/>
      <c r="L25" s="79"/>
      <c r="M25" s="80">
        <f t="shared" si="2"/>
        <v>1968.24</v>
      </c>
      <c r="N25" t="str">
        <f t="shared" si="3"/>
        <v>31201005</v>
      </c>
    </row>
    <row r="26" spans="1:14" x14ac:dyDescent="0.3">
      <c r="A26" s="54">
        <v>101</v>
      </c>
      <c r="B26" s="54" t="s">
        <v>12</v>
      </c>
      <c r="C26" s="58" t="s">
        <v>347</v>
      </c>
      <c r="E26" s="54" t="s">
        <v>12</v>
      </c>
      <c r="F26" s="78">
        <v>16599.679999999989</v>
      </c>
      <c r="G26" s="79"/>
      <c r="H26" s="79"/>
      <c r="I26" s="79"/>
      <c r="J26" s="79"/>
      <c r="K26" s="79"/>
      <c r="L26" s="79"/>
      <c r="M26" s="80">
        <f t="shared" si="2"/>
        <v>16599.679999999989</v>
      </c>
      <c r="N26" t="str">
        <f t="shared" si="3"/>
        <v>31201005</v>
      </c>
    </row>
    <row r="27" spans="1:14" x14ac:dyDescent="0.3">
      <c r="A27" s="54">
        <v>101</v>
      </c>
      <c r="B27" s="54" t="s">
        <v>12</v>
      </c>
      <c r="C27" s="58" t="s">
        <v>348</v>
      </c>
      <c r="E27" s="54" t="s">
        <v>12</v>
      </c>
      <c r="F27" s="78">
        <v>2558.08</v>
      </c>
      <c r="G27" s="79"/>
      <c r="H27" s="79"/>
      <c r="I27" s="79"/>
      <c r="J27" s="79"/>
      <c r="K27" s="79"/>
      <c r="L27" s="79"/>
      <c r="M27" s="80">
        <f t="shared" si="2"/>
        <v>2558.08</v>
      </c>
      <c r="N27" t="str">
        <f t="shared" si="3"/>
        <v>31201005</v>
      </c>
    </row>
    <row r="28" spans="1:14" x14ac:dyDescent="0.3">
      <c r="A28" s="54">
        <v>101</v>
      </c>
      <c r="B28" s="54" t="s">
        <v>12</v>
      </c>
      <c r="C28" s="58" t="s">
        <v>349</v>
      </c>
      <c r="E28" s="54" t="s">
        <v>12</v>
      </c>
      <c r="F28" s="78">
        <v>10091.379999999997</v>
      </c>
      <c r="G28" s="79"/>
      <c r="H28" s="79"/>
      <c r="I28" s="79"/>
      <c r="J28" s="79"/>
      <c r="K28" s="79"/>
      <c r="L28" s="79"/>
      <c r="M28" s="80">
        <f t="shared" si="2"/>
        <v>10091.379999999997</v>
      </c>
      <c r="N28" t="str">
        <f t="shared" si="3"/>
        <v>31201005</v>
      </c>
    </row>
    <row r="29" spans="1:14" x14ac:dyDescent="0.3">
      <c r="A29" s="54">
        <v>101</v>
      </c>
      <c r="B29" s="54" t="s">
        <v>12</v>
      </c>
      <c r="C29" s="58" t="s">
        <v>405</v>
      </c>
      <c r="E29" s="54" t="s">
        <v>12</v>
      </c>
      <c r="F29" s="78">
        <v>2240.42</v>
      </c>
      <c r="G29" s="79"/>
      <c r="H29" s="79"/>
      <c r="I29" s="79"/>
      <c r="J29" s="79"/>
      <c r="K29" s="79"/>
      <c r="L29" s="79"/>
      <c r="M29" s="80">
        <f t="shared" si="2"/>
        <v>2240.42</v>
      </c>
      <c r="N29" t="str">
        <f t="shared" si="3"/>
        <v>31201005</v>
      </c>
    </row>
    <row r="30" spans="1:14" x14ac:dyDescent="0.3">
      <c r="A30" s="54">
        <v>101</v>
      </c>
      <c r="B30" s="54" t="s">
        <v>12</v>
      </c>
      <c r="C30" s="58" t="s">
        <v>350</v>
      </c>
      <c r="E30" s="54" t="s">
        <v>12</v>
      </c>
      <c r="F30" s="78">
        <v>1324.85</v>
      </c>
      <c r="G30" s="79"/>
      <c r="H30" s="79"/>
      <c r="I30" s="79"/>
      <c r="J30" s="79"/>
      <c r="K30" s="79"/>
      <c r="L30" s="79"/>
      <c r="M30" s="80">
        <f t="shared" si="2"/>
        <v>1324.85</v>
      </c>
      <c r="N30" t="str">
        <f t="shared" si="3"/>
        <v>31201005</v>
      </c>
    </row>
    <row r="31" spans="1:14" x14ac:dyDescent="0.3">
      <c r="A31" s="54">
        <v>101</v>
      </c>
      <c r="B31" s="54" t="s">
        <v>12</v>
      </c>
      <c r="C31" s="58" t="s">
        <v>351</v>
      </c>
      <c r="E31" s="54" t="s">
        <v>12</v>
      </c>
      <c r="F31" s="78">
        <v>2646.44</v>
      </c>
      <c r="G31" s="79"/>
      <c r="H31" s="79"/>
      <c r="I31" s="79"/>
      <c r="J31" s="79"/>
      <c r="K31" s="79"/>
      <c r="L31" s="79"/>
      <c r="M31" s="80">
        <f t="shared" si="2"/>
        <v>2646.44</v>
      </c>
      <c r="N31" t="str">
        <f t="shared" si="3"/>
        <v>31201005</v>
      </c>
    </row>
    <row r="32" spans="1:14" x14ac:dyDescent="0.3">
      <c r="A32" s="54">
        <v>101</v>
      </c>
      <c r="B32" s="54" t="s">
        <v>12</v>
      </c>
      <c r="C32" s="58" t="s">
        <v>352</v>
      </c>
      <c r="E32" s="54" t="s">
        <v>12</v>
      </c>
      <c r="F32" s="78">
        <v>7674.2400000000016</v>
      </c>
      <c r="G32" s="79"/>
      <c r="H32" s="79"/>
      <c r="I32" s="79"/>
      <c r="J32" s="79"/>
      <c r="K32" s="79"/>
      <c r="L32" s="79"/>
      <c r="M32" s="80">
        <f t="shared" si="2"/>
        <v>7674.2400000000016</v>
      </c>
      <c r="N32" t="str">
        <f t="shared" si="3"/>
        <v>31201005</v>
      </c>
    </row>
    <row r="33" spans="1:14" x14ac:dyDescent="0.3">
      <c r="A33" s="54">
        <v>101</v>
      </c>
      <c r="B33" s="54" t="s">
        <v>12</v>
      </c>
      <c r="C33" s="58" t="s">
        <v>406</v>
      </c>
      <c r="E33" s="54" t="s">
        <v>12</v>
      </c>
      <c r="F33" s="78">
        <v>776.26</v>
      </c>
      <c r="G33" s="79"/>
      <c r="H33" s="79"/>
      <c r="I33" s="79"/>
      <c r="J33" s="79"/>
      <c r="K33" s="79"/>
      <c r="L33" s="79"/>
      <c r="M33" s="80">
        <f t="shared" si="2"/>
        <v>776.26</v>
      </c>
      <c r="N33" t="str">
        <f t="shared" si="3"/>
        <v>31201005</v>
      </c>
    </row>
    <row r="34" spans="1:14" x14ac:dyDescent="0.3">
      <c r="A34" s="54">
        <v>101</v>
      </c>
      <c r="B34" s="54" t="s">
        <v>12</v>
      </c>
      <c r="C34" s="58" t="s">
        <v>353</v>
      </c>
      <c r="E34" s="54" t="s">
        <v>12</v>
      </c>
      <c r="F34" s="78">
        <v>2099.48</v>
      </c>
      <c r="G34" s="79"/>
      <c r="H34" s="79"/>
      <c r="I34" s="79"/>
      <c r="J34" s="79"/>
      <c r="K34" s="79"/>
      <c r="L34" s="79"/>
      <c r="M34" s="80">
        <f t="shared" si="2"/>
        <v>2099.48</v>
      </c>
      <c r="N34" t="str">
        <f t="shared" si="3"/>
        <v>31201005</v>
      </c>
    </row>
    <row r="35" spans="1:14" x14ac:dyDescent="0.3">
      <c r="A35" s="54">
        <v>101</v>
      </c>
      <c r="B35" s="54" t="s">
        <v>12</v>
      </c>
      <c r="C35" s="58" t="s">
        <v>354</v>
      </c>
      <c r="E35" s="54" t="s">
        <v>12</v>
      </c>
      <c r="F35" s="78">
        <v>2558.08</v>
      </c>
      <c r="G35" s="79"/>
      <c r="H35" s="79"/>
      <c r="I35" s="79"/>
      <c r="J35" s="79"/>
      <c r="K35" s="79"/>
      <c r="L35" s="79"/>
      <c r="M35" s="80">
        <f t="shared" si="2"/>
        <v>2558.08</v>
      </c>
      <c r="N35" t="str">
        <f t="shared" si="3"/>
        <v>31201005</v>
      </c>
    </row>
    <row r="36" spans="1:14" x14ac:dyDescent="0.3">
      <c r="A36" s="54">
        <v>101</v>
      </c>
      <c r="B36" s="54" t="s">
        <v>12</v>
      </c>
      <c r="C36" s="58" t="s">
        <v>407</v>
      </c>
      <c r="E36" s="54" t="s">
        <v>12</v>
      </c>
      <c r="F36" s="78">
        <v>1323.22</v>
      </c>
      <c r="G36" s="79"/>
      <c r="H36" s="79"/>
      <c r="I36" s="79"/>
      <c r="J36" s="79"/>
      <c r="K36" s="79"/>
      <c r="L36" s="79"/>
      <c r="M36" s="80">
        <f t="shared" si="2"/>
        <v>1323.22</v>
      </c>
      <c r="N36" t="str">
        <f t="shared" si="3"/>
        <v>31201005</v>
      </c>
    </row>
    <row r="37" spans="1:14" x14ac:dyDescent="0.3">
      <c r="A37" s="54">
        <v>101</v>
      </c>
      <c r="B37" s="54" t="s">
        <v>12</v>
      </c>
      <c r="C37" s="58" t="s">
        <v>355</v>
      </c>
      <c r="E37" s="54" t="s">
        <v>12</v>
      </c>
      <c r="F37" s="78">
        <v>7916.0300000000007</v>
      </c>
      <c r="G37" s="79"/>
      <c r="H37" s="79"/>
      <c r="I37" s="79"/>
      <c r="J37" s="79"/>
      <c r="K37" s="79"/>
      <c r="L37" s="79"/>
      <c r="M37" s="80">
        <f t="shared" ref="M37" si="4">F37</f>
        <v>7916.0300000000007</v>
      </c>
      <c r="N37" t="str">
        <f t="shared" ref="N37" si="5">IF(B37="SEGURO DE VIDA EM GRUPO","31201003","31201005")</f>
        <v>31201005</v>
      </c>
    </row>
    <row r="38" spans="1:14" x14ac:dyDescent="0.3">
      <c r="A38" s="54">
        <v>101</v>
      </c>
      <c r="B38" s="54" t="s">
        <v>12</v>
      </c>
      <c r="C38" s="58" t="s">
        <v>408</v>
      </c>
      <c r="E38" s="54" t="s">
        <v>12</v>
      </c>
      <c r="F38" s="78">
        <v>1323.22</v>
      </c>
      <c r="G38" s="79"/>
      <c r="H38" s="79"/>
      <c r="I38" s="79"/>
      <c r="J38" s="79"/>
      <c r="K38" s="79"/>
      <c r="L38" s="79"/>
      <c r="M38" s="80">
        <f t="shared" ref="M38:M40" si="6">F38</f>
        <v>1323.22</v>
      </c>
      <c r="N38" t="str">
        <f t="shared" ref="N38:N40" si="7">IF(B38="SEGURO DE VIDA EM GRUPO","31201003","31201005")</f>
        <v>31201005</v>
      </c>
    </row>
    <row r="39" spans="1:14" x14ac:dyDescent="0.3">
      <c r="A39" s="54">
        <v>101</v>
      </c>
      <c r="B39" s="54" t="s">
        <v>12</v>
      </c>
      <c r="C39" s="58" t="s">
        <v>356</v>
      </c>
      <c r="E39" s="54" t="s">
        <v>12</v>
      </c>
      <c r="F39" s="78">
        <v>3740.3600000000006</v>
      </c>
      <c r="G39" s="79"/>
      <c r="H39" s="79"/>
      <c r="I39" s="79"/>
      <c r="J39" s="79"/>
      <c r="K39" s="79"/>
      <c r="L39" s="79"/>
      <c r="M39" s="80">
        <f t="shared" si="6"/>
        <v>3740.3600000000006</v>
      </c>
      <c r="N39" t="str">
        <f t="shared" si="7"/>
        <v>31201005</v>
      </c>
    </row>
    <row r="40" spans="1:14" x14ac:dyDescent="0.3">
      <c r="A40" s="54">
        <v>101</v>
      </c>
      <c r="B40" s="54" t="s">
        <v>12</v>
      </c>
      <c r="C40" s="58" t="s">
        <v>357</v>
      </c>
      <c r="E40" s="54" t="s">
        <v>12</v>
      </c>
      <c r="F40" s="78">
        <v>4287.32</v>
      </c>
      <c r="G40" s="79"/>
      <c r="H40" s="79"/>
      <c r="I40" s="79"/>
      <c r="J40" s="79"/>
      <c r="K40" s="79"/>
      <c r="L40" s="79"/>
      <c r="M40" s="80">
        <f t="shared" si="6"/>
        <v>4287.32</v>
      </c>
      <c r="N40" t="str">
        <f t="shared" si="7"/>
        <v>31201005</v>
      </c>
    </row>
    <row r="41" spans="1:14" x14ac:dyDescent="0.3">
      <c r="A41" s="54">
        <v>101</v>
      </c>
      <c r="B41" s="54" t="s">
        <v>12</v>
      </c>
      <c r="C41" s="58" t="s">
        <v>409</v>
      </c>
      <c r="E41" s="54" t="s">
        <v>12</v>
      </c>
      <c r="F41" s="78">
        <v>546.96</v>
      </c>
      <c r="G41" s="79"/>
      <c r="H41" s="79"/>
      <c r="I41" s="79"/>
      <c r="J41" s="79"/>
      <c r="K41" s="79"/>
      <c r="L41" s="79"/>
      <c r="M41" s="80">
        <f t="shared" ref="M41:M46" si="8">F41</f>
        <v>546.96</v>
      </c>
      <c r="N41" t="str">
        <f t="shared" ref="N41:N46" si="9">IF(B41="SEGURO DE VIDA EM GRUPO","31201003","31201005")</f>
        <v>31201005</v>
      </c>
    </row>
    <row r="42" spans="1:14" x14ac:dyDescent="0.3">
      <c r="A42" s="54">
        <v>101</v>
      </c>
      <c r="B42" s="54" t="s">
        <v>12</v>
      </c>
      <c r="C42" s="58">
        <v>21012</v>
      </c>
      <c r="E42" s="54" t="s">
        <v>12</v>
      </c>
      <c r="F42" s="78">
        <v>229.3</v>
      </c>
      <c r="G42" s="79"/>
      <c r="H42" s="79"/>
      <c r="I42" s="79"/>
      <c r="J42" s="79"/>
      <c r="K42" s="79"/>
      <c r="L42" s="79"/>
      <c r="M42" s="80">
        <f t="shared" si="8"/>
        <v>229.3</v>
      </c>
      <c r="N42" t="str">
        <f t="shared" si="9"/>
        <v>31201005</v>
      </c>
    </row>
    <row r="43" spans="1:14" x14ac:dyDescent="0.3">
      <c r="A43" s="54">
        <v>101</v>
      </c>
      <c r="B43" s="54" t="s">
        <v>12</v>
      </c>
      <c r="C43" s="58">
        <v>31090</v>
      </c>
      <c r="E43" s="54" t="s">
        <v>12</v>
      </c>
      <c r="F43" s="78">
        <v>546.96</v>
      </c>
      <c r="G43" s="79"/>
      <c r="H43" s="79"/>
      <c r="I43" s="79"/>
      <c r="J43" s="79"/>
      <c r="K43" s="79"/>
      <c r="L43" s="79"/>
      <c r="M43" s="80">
        <f t="shared" si="8"/>
        <v>546.96</v>
      </c>
      <c r="N43" t="str">
        <f t="shared" si="9"/>
        <v>31201005</v>
      </c>
    </row>
    <row r="44" spans="1:14" x14ac:dyDescent="0.3">
      <c r="A44" s="54">
        <v>101</v>
      </c>
      <c r="B44" s="54" t="s">
        <v>12</v>
      </c>
      <c r="C44" s="58">
        <v>13016</v>
      </c>
      <c r="E44" s="54" t="s">
        <v>12</v>
      </c>
      <c r="F44" s="78">
        <v>229.3</v>
      </c>
      <c r="G44" s="79"/>
      <c r="H44" s="79"/>
      <c r="I44" s="79"/>
      <c r="J44" s="79"/>
      <c r="K44" s="79"/>
      <c r="L44" s="79"/>
      <c r="M44" s="80">
        <f t="shared" si="8"/>
        <v>229.3</v>
      </c>
      <c r="N44" t="str">
        <f t="shared" si="9"/>
        <v>31201005</v>
      </c>
    </row>
    <row r="45" spans="1:14" x14ac:dyDescent="0.3">
      <c r="A45" s="54">
        <v>101</v>
      </c>
      <c r="B45" s="54" t="s">
        <v>12</v>
      </c>
      <c r="C45" s="58">
        <v>33050</v>
      </c>
      <c r="E45" s="54" t="s">
        <v>12</v>
      </c>
      <c r="F45" s="78">
        <v>546.96</v>
      </c>
      <c r="G45" s="79"/>
      <c r="H45" s="79"/>
      <c r="I45" s="79"/>
      <c r="J45" s="79"/>
      <c r="K45" s="79"/>
      <c r="L45" s="79"/>
      <c r="M45" s="80">
        <f t="shared" si="8"/>
        <v>546.96</v>
      </c>
      <c r="N45" t="str">
        <f t="shared" si="9"/>
        <v>31201005</v>
      </c>
    </row>
    <row r="46" spans="1:14" x14ac:dyDescent="0.3">
      <c r="A46" s="54">
        <v>101</v>
      </c>
      <c r="B46" s="54" t="s">
        <v>12</v>
      </c>
      <c r="C46" s="58">
        <v>21011</v>
      </c>
      <c r="E46" s="54" t="s">
        <v>12</v>
      </c>
      <c r="F46" s="78">
        <v>229.3</v>
      </c>
      <c r="G46" s="79"/>
      <c r="H46" s="79"/>
      <c r="I46" s="79"/>
      <c r="J46" s="79"/>
      <c r="K46" s="79"/>
      <c r="L46" s="79"/>
      <c r="M46" s="80">
        <f t="shared" si="8"/>
        <v>229.3</v>
      </c>
      <c r="N46" t="str">
        <f t="shared" si="9"/>
        <v>31201005</v>
      </c>
    </row>
    <row r="47" spans="1:14" x14ac:dyDescent="0.3">
      <c r="C47" s="58"/>
      <c r="F47" s="78"/>
      <c r="G47" s="79"/>
      <c r="H47" s="79"/>
      <c r="I47" s="79"/>
      <c r="J47" s="79"/>
      <c r="K47" s="79"/>
      <c r="L47" s="79"/>
      <c r="M47" s="80"/>
    </row>
    <row r="48" spans="1:14" x14ac:dyDescent="0.3">
      <c r="A48" s="54">
        <v>101</v>
      </c>
      <c r="B48" s="54" t="s">
        <v>13</v>
      </c>
      <c r="C48" s="58">
        <v>11011</v>
      </c>
      <c r="E48" s="54" t="s">
        <v>13</v>
      </c>
      <c r="F48" s="78">
        <v>74.150000000000006</v>
      </c>
      <c r="G48" s="81"/>
      <c r="H48" s="79"/>
      <c r="I48" s="79"/>
      <c r="J48" s="79"/>
      <c r="K48" s="79"/>
      <c r="L48" s="81"/>
      <c r="M48" s="80">
        <f t="shared" si="2"/>
        <v>74.150000000000006</v>
      </c>
      <c r="N48" t="str">
        <f t="shared" si="3"/>
        <v>31201003</v>
      </c>
    </row>
    <row r="49" spans="1:14" x14ac:dyDescent="0.3">
      <c r="A49" s="54">
        <v>101</v>
      </c>
      <c r="B49" s="54" t="s">
        <v>13</v>
      </c>
      <c r="C49" s="58">
        <v>13013</v>
      </c>
      <c r="E49" s="54" t="s">
        <v>13</v>
      </c>
      <c r="F49" s="78">
        <v>8.0399999999999991</v>
      </c>
      <c r="G49" s="81"/>
      <c r="H49" s="79"/>
      <c r="I49" s="79"/>
      <c r="J49" s="79"/>
      <c r="K49" s="79"/>
      <c r="L49" s="81"/>
      <c r="M49" s="80">
        <f t="shared" si="2"/>
        <v>8.0399999999999991</v>
      </c>
      <c r="N49" t="str">
        <f t="shared" si="3"/>
        <v>31201003</v>
      </c>
    </row>
    <row r="50" spans="1:14" x14ac:dyDescent="0.3">
      <c r="A50" s="54">
        <v>101</v>
      </c>
      <c r="B50" s="54" t="s">
        <v>13</v>
      </c>
      <c r="C50" s="58">
        <v>13014</v>
      </c>
      <c r="E50" s="54" t="s">
        <v>13</v>
      </c>
      <c r="F50" s="78">
        <v>74.150000000000006</v>
      </c>
      <c r="G50" s="81"/>
      <c r="H50" s="79"/>
      <c r="I50" s="79"/>
      <c r="J50" s="79"/>
      <c r="K50" s="79"/>
      <c r="L50" s="81"/>
      <c r="M50" s="80">
        <f t="shared" si="2"/>
        <v>74.150000000000006</v>
      </c>
      <c r="N50" t="str">
        <f t="shared" si="3"/>
        <v>31201003</v>
      </c>
    </row>
    <row r="51" spans="1:14" x14ac:dyDescent="0.3">
      <c r="A51" s="54">
        <v>101</v>
      </c>
      <c r="B51" s="54" t="s">
        <v>13</v>
      </c>
      <c r="C51" s="58">
        <v>14050</v>
      </c>
      <c r="E51" s="54" t="s">
        <v>13</v>
      </c>
      <c r="F51" s="78">
        <v>72.359999999999985</v>
      </c>
      <c r="G51" s="79"/>
      <c r="H51" s="79"/>
      <c r="I51" s="79"/>
      <c r="J51" s="79"/>
      <c r="K51" s="79"/>
      <c r="L51" s="81"/>
      <c r="M51" s="80">
        <f t="shared" si="2"/>
        <v>72.359999999999985</v>
      </c>
      <c r="N51" t="str">
        <f t="shared" si="3"/>
        <v>31201003</v>
      </c>
    </row>
    <row r="52" spans="1:14" x14ac:dyDescent="0.3">
      <c r="A52" s="54">
        <v>101</v>
      </c>
      <c r="B52" s="54" t="s">
        <v>13</v>
      </c>
      <c r="C52" s="58">
        <v>14051</v>
      </c>
      <c r="E52" s="54" t="s">
        <v>13</v>
      </c>
      <c r="F52" s="78">
        <v>200.99999999999986</v>
      </c>
      <c r="G52" s="79"/>
      <c r="H52" s="79"/>
      <c r="I52" s="79"/>
      <c r="J52" s="79"/>
      <c r="K52" s="79"/>
      <c r="L52" s="60"/>
      <c r="M52" s="80">
        <f t="shared" si="2"/>
        <v>200.99999999999986</v>
      </c>
      <c r="N52" t="str">
        <f t="shared" si="3"/>
        <v>31201003</v>
      </c>
    </row>
    <row r="53" spans="1:14" x14ac:dyDescent="0.3">
      <c r="A53" s="54">
        <v>101</v>
      </c>
      <c r="B53" s="54" t="s">
        <v>13</v>
      </c>
      <c r="C53" s="58">
        <v>14052</v>
      </c>
      <c r="E53" s="54" t="s">
        <v>13</v>
      </c>
      <c r="F53" s="78">
        <v>88.439999999999969</v>
      </c>
      <c r="G53" s="79"/>
      <c r="H53" s="79"/>
      <c r="I53" s="79"/>
      <c r="J53" s="79"/>
      <c r="K53" s="79"/>
      <c r="L53" s="60"/>
      <c r="M53" s="80">
        <f t="shared" si="2"/>
        <v>88.439999999999969</v>
      </c>
      <c r="N53" t="str">
        <f t="shared" si="3"/>
        <v>31201003</v>
      </c>
    </row>
    <row r="54" spans="1:14" x14ac:dyDescent="0.3">
      <c r="A54" s="54">
        <v>101</v>
      </c>
      <c r="B54" s="54" t="s">
        <v>13</v>
      </c>
      <c r="C54" s="58">
        <v>14054</v>
      </c>
      <c r="E54" s="54" t="s">
        <v>13</v>
      </c>
      <c r="F54" s="78">
        <v>90.23</v>
      </c>
      <c r="G54" s="79"/>
      <c r="H54" s="79"/>
      <c r="I54" s="79"/>
      <c r="J54" s="79"/>
      <c r="K54" s="79"/>
      <c r="L54" s="60"/>
      <c r="M54" s="80">
        <f t="shared" si="2"/>
        <v>90.23</v>
      </c>
      <c r="N54" t="str">
        <f t="shared" si="3"/>
        <v>31201003</v>
      </c>
    </row>
    <row r="55" spans="1:14" x14ac:dyDescent="0.3">
      <c r="A55" s="54">
        <v>101</v>
      </c>
      <c r="B55" s="54" t="s">
        <v>13</v>
      </c>
      <c r="C55" s="58">
        <v>14056</v>
      </c>
      <c r="E55" s="54" t="s">
        <v>13</v>
      </c>
      <c r="F55" s="78">
        <v>64.319999999999993</v>
      </c>
      <c r="G55" s="79"/>
      <c r="I55" s="79"/>
      <c r="J55" s="79"/>
      <c r="K55" s="79"/>
      <c r="L55" s="60"/>
      <c r="M55" s="80">
        <f t="shared" si="2"/>
        <v>64.319999999999993</v>
      </c>
      <c r="N55" t="str">
        <f t="shared" si="3"/>
        <v>31201003</v>
      </c>
    </row>
    <row r="56" spans="1:14" x14ac:dyDescent="0.3">
      <c r="A56" s="54">
        <v>101</v>
      </c>
      <c r="B56" s="54" t="s">
        <v>13</v>
      </c>
      <c r="C56" s="58">
        <v>14058</v>
      </c>
      <c r="E56" s="54" t="s">
        <v>13</v>
      </c>
      <c r="F56" s="78">
        <v>209.03999999999985</v>
      </c>
      <c r="G56" s="79"/>
      <c r="I56" s="79"/>
      <c r="J56" s="79"/>
      <c r="K56" s="79"/>
      <c r="L56" s="79"/>
      <c r="M56" s="80">
        <f t="shared" si="2"/>
        <v>209.03999999999985</v>
      </c>
      <c r="N56" t="str">
        <f t="shared" si="3"/>
        <v>31201003</v>
      </c>
    </row>
    <row r="57" spans="1:14" x14ac:dyDescent="0.3">
      <c r="A57" s="54">
        <v>101</v>
      </c>
      <c r="B57" s="54" t="s">
        <v>13</v>
      </c>
      <c r="C57" s="58">
        <v>14062</v>
      </c>
      <c r="E57" s="54" t="s">
        <v>13</v>
      </c>
      <c r="F57" s="78">
        <v>8.0399999999999991</v>
      </c>
      <c r="G57" s="79"/>
      <c r="I57" s="79"/>
      <c r="J57" s="79"/>
      <c r="K57" s="79"/>
      <c r="L57" s="79"/>
      <c r="M57" s="80">
        <f t="shared" si="2"/>
        <v>8.0399999999999991</v>
      </c>
      <c r="N57" t="str">
        <f t="shared" si="3"/>
        <v>31201003</v>
      </c>
    </row>
    <row r="58" spans="1:14" x14ac:dyDescent="0.3">
      <c r="A58" s="54">
        <v>101</v>
      </c>
      <c r="B58" s="54" t="s">
        <v>13</v>
      </c>
      <c r="C58" s="58">
        <v>15012</v>
      </c>
      <c r="E58" s="54" t="s">
        <v>13</v>
      </c>
      <c r="F58" s="78">
        <v>74.150000000000006</v>
      </c>
      <c r="G58" s="79"/>
      <c r="I58" s="79"/>
      <c r="J58" s="79"/>
      <c r="K58" s="79"/>
      <c r="M58" s="80">
        <f t="shared" si="2"/>
        <v>74.150000000000006</v>
      </c>
      <c r="N58" t="str">
        <f t="shared" si="3"/>
        <v>31201003</v>
      </c>
    </row>
    <row r="59" spans="1:14" x14ac:dyDescent="0.3">
      <c r="A59" s="54">
        <v>101</v>
      </c>
      <c r="B59" s="54" t="s">
        <v>13</v>
      </c>
      <c r="C59" s="58">
        <v>15050</v>
      </c>
      <c r="E59" s="54" t="s">
        <v>13</v>
      </c>
      <c r="F59" s="78">
        <v>24.119999999999997</v>
      </c>
      <c r="G59" s="79"/>
      <c r="I59" s="79"/>
      <c r="J59" s="79"/>
      <c r="K59" s="79"/>
      <c r="L59" s="81"/>
      <c r="M59" s="80">
        <f t="shared" si="2"/>
        <v>24.119999999999997</v>
      </c>
      <c r="N59" t="str">
        <f t="shared" si="3"/>
        <v>31201003</v>
      </c>
    </row>
    <row r="60" spans="1:14" x14ac:dyDescent="0.3">
      <c r="A60" s="54">
        <v>101</v>
      </c>
      <c r="B60" s="54" t="s">
        <v>13</v>
      </c>
      <c r="C60" s="58">
        <v>15051</v>
      </c>
      <c r="E60" s="54" t="s">
        <v>13</v>
      </c>
      <c r="F60" s="78">
        <v>16.079999999999998</v>
      </c>
      <c r="M60" s="80">
        <f t="shared" si="2"/>
        <v>16.079999999999998</v>
      </c>
      <c r="N60" t="str">
        <f t="shared" si="3"/>
        <v>31201003</v>
      </c>
    </row>
    <row r="61" spans="1:14" x14ac:dyDescent="0.3">
      <c r="A61" s="54">
        <v>101</v>
      </c>
      <c r="B61" s="54" t="s">
        <v>13</v>
      </c>
      <c r="C61" s="58">
        <v>31060</v>
      </c>
      <c r="E61" s="54" t="s">
        <v>13</v>
      </c>
      <c r="F61" s="78">
        <v>48.239999999999995</v>
      </c>
      <c r="M61" s="80">
        <f t="shared" si="2"/>
        <v>48.239999999999995</v>
      </c>
      <c r="N61" t="str">
        <f t="shared" si="3"/>
        <v>31201003</v>
      </c>
    </row>
    <row r="62" spans="1:14" x14ac:dyDescent="0.3">
      <c r="A62" s="54">
        <v>101</v>
      </c>
      <c r="B62" s="54" t="s">
        <v>13</v>
      </c>
      <c r="C62" s="58">
        <v>31070</v>
      </c>
      <c r="E62" s="54" t="s">
        <v>13</v>
      </c>
      <c r="F62" s="78">
        <v>8.0399999999999991</v>
      </c>
      <c r="M62" s="80">
        <f t="shared" si="2"/>
        <v>8.0399999999999991</v>
      </c>
      <c r="N62" t="str">
        <f t="shared" si="3"/>
        <v>31201003</v>
      </c>
    </row>
    <row r="63" spans="1:14" x14ac:dyDescent="0.3">
      <c r="A63" s="54">
        <v>101</v>
      </c>
      <c r="B63" s="54" t="s">
        <v>13</v>
      </c>
      <c r="C63" s="58">
        <v>31111</v>
      </c>
      <c r="E63" s="54" t="s">
        <v>13</v>
      </c>
      <c r="F63" s="78">
        <v>8.0399999999999991</v>
      </c>
      <c r="M63" s="80">
        <f t="shared" si="2"/>
        <v>8.0399999999999991</v>
      </c>
      <c r="N63" t="str">
        <f t="shared" si="3"/>
        <v>31201003</v>
      </c>
    </row>
    <row r="64" spans="1:14" x14ac:dyDescent="0.3">
      <c r="A64" s="54">
        <v>101</v>
      </c>
      <c r="B64" s="54" t="s">
        <v>13</v>
      </c>
      <c r="C64" s="58">
        <v>31114</v>
      </c>
      <c r="E64" s="54" t="s">
        <v>13</v>
      </c>
      <c r="F64" s="78">
        <v>32.159999999999997</v>
      </c>
      <c r="M64" s="80">
        <f t="shared" si="2"/>
        <v>32.159999999999997</v>
      </c>
      <c r="N64" t="str">
        <f t="shared" si="3"/>
        <v>31201003</v>
      </c>
    </row>
    <row r="65" spans="1:14" x14ac:dyDescent="0.3">
      <c r="A65" s="54">
        <v>101</v>
      </c>
      <c r="B65" s="54" t="s">
        <v>13</v>
      </c>
      <c r="C65" s="58">
        <v>31200</v>
      </c>
      <c r="E65" s="54" t="s">
        <v>13</v>
      </c>
      <c r="F65" s="78">
        <v>8.0399999999999991</v>
      </c>
      <c r="M65" s="80">
        <f t="shared" si="2"/>
        <v>8.0399999999999991</v>
      </c>
      <c r="N65" t="str">
        <f t="shared" si="3"/>
        <v>31201003</v>
      </c>
    </row>
    <row r="66" spans="1:14" x14ac:dyDescent="0.3">
      <c r="A66" s="54">
        <v>101</v>
      </c>
      <c r="B66" s="54" t="s">
        <v>13</v>
      </c>
      <c r="C66" s="58" t="s">
        <v>358</v>
      </c>
      <c r="E66" s="54" t="s">
        <v>13</v>
      </c>
      <c r="F66" s="78">
        <v>230.49</v>
      </c>
      <c r="M66" s="80">
        <f t="shared" si="2"/>
        <v>230.49</v>
      </c>
      <c r="N66" t="str">
        <f t="shared" si="3"/>
        <v>31201003</v>
      </c>
    </row>
    <row r="67" spans="1:14" x14ac:dyDescent="0.3">
      <c r="A67" s="54">
        <v>101</v>
      </c>
      <c r="B67" s="54" t="s">
        <v>13</v>
      </c>
      <c r="C67" s="58" t="s">
        <v>332</v>
      </c>
      <c r="E67" s="54" t="s">
        <v>13</v>
      </c>
      <c r="F67" s="82">
        <v>90.22999999999999</v>
      </c>
      <c r="M67" s="80">
        <f t="shared" si="2"/>
        <v>90.22999999999999</v>
      </c>
      <c r="N67" t="str">
        <f t="shared" si="3"/>
        <v>31201003</v>
      </c>
    </row>
    <row r="68" spans="1:14" x14ac:dyDescent="0.3">
      <c r="A68" s="54">
        <v>101</v>
      </c>
      <c r="B68" s="54" t="s">
        <v>13</v>
      </c>
      <c r="C68" s="58" t="s">
        <v>359</v>
      </c>
      <c r="E68" s="54" t="s">
        <v>13</v>
      </c>
      <c r="F68" s="82">
        <v>74.150000000000006</v>
      </c>
      <c r="M68" s="80">
        <f t="shared" si="2"/>
        <v>74.150000000000006</v>
      </c>
      <c r="N68" t="str">
        <f t="shared" si="3"/>
        <v>31201003</v>
      </c>
    </row>
    <row r="69" spans="1:14" x14ac:dyDescent="0.3">
      <c r="A69" s="54">
        <v>101</v>
      </c>
      <c r="B69" s="54" t="s">
        <v>13</v>
      </c>
      <c r="C69" s="58" t="s">
        <v>333</v>
      </c>
      <c r="E69" s="54" t="s">
        <v>13</v>
      </c>
      <c r="F69" s="82">
        <v>64.319999999999993</v>
      </c>
      <c r="M69" s="80">
        <f t="shared" si="2"/>
        <v>64.319999999999993</v>
      </c>
      <c r="N69" t="str">
        <f t="shared" si="3"/>
        <v>31201003</v>
      </c>
    </row>
    <row r="70" spans="1:14" x14ac:dyDescent="0.3">
      <c r="A70" s="54">
        <v>101</v>
      </c>
      <c r="B70" s="54" t="s">
        <v>13</v>
      </c>
      <c r="C70" s="58" t="s">
        <v>334</v>
      </c>
      <c r="E70" s="54" t="s">
        <v>13</v>
      </c>
      <c r="F70" s="82">
        <v>16.079999999999998</v>
      </c>
      <c r="M70" s="80">
        <f t="shared" si="2"/>
        <v>16.079999999999998</v>
      </c>
      <c r="N70" t="str">
        <f t="shared" si="3"/>
        <v>31201003</v>
      </c>
    </row>
    <row r="71" spans="1:14" x14ac:dyDescent="0.3">
      <c r="A71" s="54">
        <v>101</v>
      </c>
      <c r="B71" s="54" t="s">
        <v>13</v>
      </c>
      <c r="C71" s="58" t="s">
        <v>335</v>
      </c>
      <c r="E71" s="54" t="s">
        <v>13</v>
      </c>
      <c r="F71" s="82">
        <v>128.32999999999998</v>
      </c>
      <c r="M71" s="80">
        <f t="shared" si="2"/>
        <v>128.32999999999998</v>
      </c>
      <c r="N71" t="str">
        <f t="shared" si="3"/>
        <v>31201003</v>
      </c>
    </row>
    <row r="72" spans="1:14" x14ac:dyDescent="0.3">
      <c r="A72" s="54">
        <v>101</v>
      </c>
      <c r="B72" s="54" t="s">
        <v>13</v>
      </c>
      <c r="C72" s="58" t="s">
        <v>336</v>
      </c>
      <c r="E72" s="54" t="s">
        <v>13</v>
      </c>
      <c r="F72" s="82">
        <v>40.199999999999996</v>
      </c>
      <c r="M72" s="80">
        <f t="shared" si="2"/>
        <v>40.199999999999996</v>
      </c>
      <c r="N72" t="str">
        <f t="shared" si="3"/>
        <v>31201003</v>
      </c>
    </row>
    <row r="73" spans="1:14" x14ac:dyDescent="0.3">
      <c r="A73" s="54">
        <v>101</v>
      </c>
      <c r="B73" s="54" t="s">
        <v>13</v>
      </c>
      <c r="C73" s="58" t="s">
        <v>337</v>
      </c>
      <c r="E73" s="54" t="s">
        <v>13</v>
      </c>
      <c r="F73" s="82">
        <v>40.199999999999996</v>
      </c>
      <c r="M73" s="80">
        <f t="shared" si="2"/>
        <v>40.199999999999996</v>
      </c>
      <c r="N73" t="str">
        <f t="shared" si="3"/>
        <v>31201003</v>
      </c>
    </row>
    <row r="74" spans="1:14" x14ac:dyDescent="0.3">
      <c r="A74" s="54">
        <v>101</v>
      </c>
      <c r="B74" s="54" t="s">
        <v>13</v>
      </c>
      <c r="C74" s="58" t="s">
        <v>400</v>
      </c>
      <c r="E74" s="54" t="s">
        <v>13</v>
      </c>
      <c r="F74" s="82">
        <v>32.159999999999997</v>
      </c>
      <c r="M74" s="80">
        <f t="shared" si="2"/>
        <v>32.159999999999997</v>
      </c>
      <c r="N74" t="str">
        <f t="shared" si="3"/>
        <v>31201003</v>
      </c>
    </row>
    <row r="75" spans="1:14" x14ac:dyDescent="0.3">
      <c r="A75" s="54">
        <v>101</v>
      </c>
      <c r="B75" s="54" t="s">
        <v>13</v>
      </c>
      <c r="C75" s="58" t="s">
        <v>338</v>
      </c>
      <c r="E75" s="54" t="s">
        <v>13</v>
      </c>
      <c r="F75" s="82">
        <v>24.119999999999997</v>
      </c>
      <c r="M75" s="80">
        <f t="shared" ref="M75:M128" si="10">F75</f>
        <v>24.119999999999997</v>
      </c>
      <c r="N75" t="str">
        <f t="shared" ref="N75:N128" si="11">IF(B75="SEGURO DE VIDA EM GRUPO","31201003","31201005")</f>
        <v>31201003</v>
      </c>
    </row>
    <row r="76" spans="1:14" x14ac:dyDescent="0.3">
      <c r="A76" s="54">
        <v>101</v>
      </c>
      <c r="B76" s="54" t="s">
        <v>13</v>
      </c>
      <c r="C76" s="58" t="s">
        <v>401</v>
      </c>
      <c r="E76" s="54" t="s">
        <v>13</v>
      </c>
      <c r="F76" s="82">
        <v>24.119999999999997</v>
      </c>
      <c r="M76" s="80">
        <f t="shared" si="10"/>
        <v>24.119999999999997</v>
      </c>
      <c r="N76" t="str">
        <f t="shared" si="11"/>
        <v>31201003</v>
      </c>
    </row>
    <row r="77" spans="1:14" x14ac:dyDescent="0.3">
      <c r="A77" s="54">
        <v>101</v>
      </c>
      <c r="B77" s="54" t="s">
        <v>13</v>
      </c>
      <c r="C77" s="58" t="s">
        <v>402</v>
      </c>
      <c r="E77" s="54" t="s">
        <v>13</v>
      </c>
      <c r="F77" s="82">
        <v>64.319999999999993</v>
      </c>
      <c r="M77" s="80">
        <f t="shared" si="10"/>
        <v>64.319999999999993</v>
      </c>
      <c r="N77" t="str">
        <f t="shared" si="11"/>
        <v>31201003</v>
      </c>
    </row>
    <row r="78" spans="1:14" x14ac:dyDescent="0.3">
      <c r="A78" s="54">
        <v>101</v>
      </c>
      <c r="B78" s="54" t="s">
        <v>13</v>
      </c>
      <c r="C78" s="58" t="s">
        <v>339</v>
      </c>
      <c r="E78" s="54" t="s">
        <v>13</v>
      </c>
      <c r="F78" s="82">
        <v>72.359999999999985</v>
      </c>
      <c r="M78" s="80">
        <f t="shared" si="10"/>
        <v>72.359999999999985</v>
      </c>
      <c r="N78" t="str">
        <f t="shared" si="11"/>
        <v>31201003</v>
      </c>
    </row>
    <row r="79" spans="1:14" x14ac:dyDescent="0.3">
      <c r="A79" s="54">
        <v>101</v>
      </c>
      <c r="B79" s="54" t="s">
        <v>13</v>
      </c>
      <c r="C79" s="58" t="s">
        <v>360</v>
      </c>
      <c r="E79" s="54" t="s">
        <v>13</v>
      </c>
      <c r="F79" s="82">
        <v>56.279999999999994</v>
      </c>
      <c r="M79" s="80">
        <f t="shared" si="10"/>
        <v>56.279999999999994</v>
      </c>
      <c r="N79" t="str">
        <f t="shared" si="11"/>
        <v>31201003</v>
      </c>
    </row>
    <row r="80" spans="1:14" x14ac:dyDescent="0.3">
      <c r="A80" s="54">
        <v>101</v>
      </c>
      <c r="B80" s="54" t="s">
        <v>13</v>
      </c>
      <c r="C80" s="58" t="s">
        <v>340</v>
      </c>
      <c r="E80" s="54" t="s">
        <v>13</v>
      </c>
      <c r="F80" s="82">
        <v>72.359999999999985</v>
      </c>
      <c r="M80" s="80">
        <f t="shared" si="10"/>
        <v>72.359999999999985</v>
      </c>
      <c r="N80" t="str">
        <f t="shared" si="11"/>
        <v>31201003</v>
      </c>
    </row>
    <row r="81" spans="1:14" x14ac:dyDescent="0.3">
      <c r="A81" s="54">
        <v>101</v>
      </c>
      <c r="B81" s="54" t="s">
        <v>13</v>
      </c>
      <c r="C81" s="58" t="s">
        <v>341</v>
      </c>
      <c r="E81" s="54" t="s">
        <v>13</v>
      </c>
      <c r="F81" s="82">
        <v>24.119999999999997</v>
      </c>
      <c r="M81" s="80">
        <f t="shared" si="10"/>
        <v>24.119999999999997</v>
      </c>
      <c r="N81" t="str">
        <f t="shared" si="11"/>
        <v>31201003</v>
      </c>
    </row>
    <row r="82" spans="1:14" x14ac:dyDescent="0.3">
      <c r="A82" s="54">
        <v>101</v>
      </c>
      <c r="B82" s="54" t="s">
        <v>13</v>
      </c>
      <c r="C82" s="58" t="s">
        <v>361</v>
      </c>
      <c r="E82" s="54" t="s">
        <v>13</v>
      </c>
      <c r="F82" s="82">
        <v>112.55999999999995</v>
      </c>
      <c r="M82" s="80">
        <f t="shared" si="10"/>
        <v>112.55999999999995</v>
      </c>
      <c r="N82" t="str">
        <f t="shared" si="11"/>
        <v>31201003</v>
      </c>
    </row>
    <row r="83" spans="1:14" x14ac:dyDescent="0.3">
      <c r="A83" s="54">
        <v>101</v>
      </c>
      <c r="B83" s="54" t="s">
        <v>13</v>
      </c>
      <c r="C83" s="58" t="s">
        <v>342</v>
      </c>
      <c r="E83" s="54" t="s">
        <v>13</v>
      </c>
      <c r="F83" s="82">
        <v>24.119999999999997</v>
      </c>
      <c r="M83" s="80">
        <f t="shared" si="10"/>
        <v>24.119999999999997</v>
      </c>
      <c r="N83" t="str">
        <f t="shared" si="11"/>
        <v>31201003</v>
      </c>
    </row>
    <row r="84" spans="1:14" x14ac:dyDescent="0.3">
      <c r="A84" s="54">
        <v>101</v>
      </c>
      <c r="B84" s="54" t="s">
        <v>13</v>
      </c>
      <c r="C84" s="58" t="s">
        <v>343</v>
      </c>
      <c r="E84" s="54" t="s">
        <v>13</v>
      </c>
      <c r="F84" s="82">
        <v>62.219999999999992</v>
      </c>
      <c r="M84" s="80">
        <f t="shared" si="10"/>
        <v>62.219999999999992</v>
      </c>
      <c r="N84" t="str">
        <f t="shared" si="11"/>
        <v>31201003</v>
      </c>
    </row>
    <row r="85" spans="1:14" x14ac:dyDescent="0.3">
      <c r="A85" s="54">
        <v>101</v>
      </c>
      <c r="B85" s="54" t="s">
        <v>13</v>
      </c>
      <c r="C85" s="58" t="s">
        <v>410</v>
      </c>
      <c r="E85" s="54" t="s">
        <v>13</v>
      </c>
      <c r="F85" s="82">
        <v>217.07999999999984</v>
      </c>
      <c r="M85" s="80">
        <f t="shared" si="10"/>
        <v>217.07999999999984</v>
      </c>
      <c r="N85" t="str">
        <f t="shared" si="11"/>
        <v>31201003</v>
      </c>
    </row>
    <row r="86" spans="1:14" x14ac:dyDescent="0.3">
      <c r="A86" s="54">
        <v>101</v>
      </c>
      <c r="B86" s="54" t="s">
        <v>13</v>
      </c>
      <c r="C86" s="58" t="s">
        <v>403</v>
      </c>
      <c r="E86" s="54" t="s">
        <v>13</v>
      </c>
      <c r="F86" s="82">
        <v>168.83999999999989</v>
      </c>
      <c r="M86" s="80">
        <f t="shared" si="10"/>
        <v>168.83999999999989</v>
      </c>
      <c r="N86" t="str">
        <f t="shared" si="11"/>
        <v>31201003</v>
      </c>
    </row>
    <row r="87" spans="1:14" x14ac:dyDescent="0.3">
      <c r="A87" s="54">
        <v>101</v>
      </c>
      <c r="B87" s="54" t="s">
        <v>13</v>
      </c>
      <c r="C87" s="58" t="s">
        <v>344</v>
      </c>
      <c r="E87" s="54" t="s">
        <v>13</v>
      </c>
      <c r="F87" s="82">
        <v>72.359999999999985</v>
      </c>
      <c r="M87" s="80">
        <f t="shared" si="10"/>
        <v>72.359999999999985</v>
      </c>
      <c r="N87" t="str">
        <f t="shared" si="11"/>
        <v>31201003</v>
      </c>
    </row>
    <row r="88" spans="1:14" x14ac:dyDescent="0.3">
      <c r="A88" s="54">
        <v>101</v>
      </c>
      <c r="B88" s="54" t="s">
        <v>13</v>
      </c>
      <c r="C88" s="58" t="s">
        <v>345</v>
      </c>
      <c r="E88" s="54" t="s">
        <v>13</v>
      </c>
      <c r="F88" s="82">
        <v>112.55999999999995</v>
      </c>
      <c r="M88" s="80">
        <f t="shared" si="10"/>
        <v>112.55999999999995</v>
      </c>
      <c r="N88" t="str">
        <f t="shared" si="11"/>
        <v>31201003</v>
      </c>
    </row>
    <row r="89" spans="1:14" x14ac:dyDescent="0.3">
      <c r="A89" s="54">
        <v>101</v>
      </c>
      <c r="B89" s="54" t="s">
        <v>13</v>
      </c>
      <c r="C89" s="58" t="s">
        <v>404</v>
      </c>
      <c r="E89" s="54" t="s">
        <v>13</v>
      </c>
      <c r="F89" s="82">
        <v>24.119999999999997</v>
      </c>
      <c r="M89" s="80">
        <f t="shared" si="10"/>
        <v>24.119999999999997</v>
      </c>
      <c r="N89" t="str">
        <f t="shared" si="11"/>
        <v>31201003</v>
      </c>
    </row>
    <row r="90" spans="1:14" x14ac:dyDescent="0.3">
      <c r="A90" s="54">
        <v>101</v>
      </c>
      <c r="B90" s="54" t="s">
        <v>13</v>
      </c>
      <c r="C90" s="58" t="s">
        <v>346</v>
      </c>
      <c r="E90" s="54" t="s">
        <v>13</v>
      </c>
      <c r="F90" s="82">
        <v>80.399999999999977</v>
      </c>
      <c r="M90" s="80">
        <f t="shared" si="10"/>
        <v>80.399999999999977</v>
      </c>
      <c r="N90" t="str">
        <f t="shared" si="11"/>
        <v>31201003</v>
      </c>
    </row>
    <row r="91" spans="1:14" x14ac:dyDescent="0.3">
      <c r="A91" s="54">
        <v>101</v>
      </c>
      <c r="B91" s="54" t="s">
        <v>13</v>
      </c>
      <c r="C91" s="58" t="s">
        <v>347</v>
      </c>
      <c r="E91" s="54" t="s">
        <v>13</v>
      </c>
      <c r="F91" s="82">
        <v>466.32000000000033</v>
      </c>
      <c r="M91" s="80">
        <f t="shared" si="10"/>
        <v>466.32000000000033</v>
      </c>
      <c r="N91" t="str">
        <f t="shared" si="11"/>
        <v>31201003</v>
      </c>
    </row>
    <row r="92" spans="1:14" x14ac:dyDescent="0.3">
      <c r="A92" s="54">
        <v>101</v>
      </c>
      <c r="B92" s="54" t="s">
        <v>13</v>
      </c>
      <c r="C92" s="58" t="s">
        <v>348</v>
      </c>
      <c r="E92" s="54" t="s">
        <v>13</v>
      </c>
      <c r="F92" s="82">
        <v>104.51999999999995</v>
      </c>
      <c r="M92" s="80">
        <f t="shared" ref="M92:M111" si="12">F92</f>
        <v>104.51999999999995</v>
      </c>
      <c r="N92" t="str">
        <f t="shared" ref="N92:N111" si="13">IF(B92="SEGURO DE VIDA EM GRUPO","31201003","31201005")</f>
        <v>31201003</v>
      </c>
    </row>
    <row r="93" spans="1:14" x14ac:dyDescent="0.3">
      <c r="A93" s="54">
        <v>101</v>
      </c>
      <c r="B93" s="54" t="s">
        <v>13</v>
      </c>
      <c r="C93" s="58" t="s">
        <v>349</v>
      </c>
      <c r="E93" s="54" t="s">
        <v>13</v>
      </c>
      <c r="F93" s="82">
        <v>337.68</v>
      </c>
      <c r="M93" s="80">
        <f t="shared" si="12"/>
        <v>337.68</v>
      </c>
      <c r="N93" t="str">
        <f t="shared" si="13"/>
        <v>31201003</v>
      </c>
    </row>
    <row r="94" spans="1:14" x14ac:dyDescent="0.3">
      <c r="A94" s="54">
        <v>101</v>
      </c>
      <c r="B94" s="54" t="s">
        <v>13</v>
      </c>
      <c r="C94" s="58" t="s">
        <v>405</v>
      </c>
      <c r="E94" s="54" t="s">
        <v>13</v>
      </c>
      <c r="F94" s="82">
        <v>80.399999999999977</v>
      </c>
      <c r="M94" s="80">
        <f t="shared" si="12"/>
        <v>80.399999999999977</v>
      </c>
      <c r="N94" t="str">
        <f t="shared" si="13"/>
        <v>31201003</v>
      </c>
    </row>
    <row r="95" spans="1:14" x14ac:dyDescent="0.3">
      <c r="A95" s="54">
        <v>101</v>
      </c>
      <c r="B95" s="54" t="s">
        <v>13</v>
      </c>
      <c r="C95" s="58" t="s">
        <v>350</v>
      </c>
      <c r="E95" s="54" t="s">
        <v>13</v>
      </c>
      <c r="F95" s="82">
        <v>32.159999999999997</v>
      </c>
      <c r="M95" s="80">
        <f t="shared" si="12"/>
        <v>32.159999999999997</v>
      </c>
      <c r="N95" t="str">
        <f t="shared" si="13"/>
        <v>31201003</v>
      </c>
    </row>
    <row r="96" spans="1:14" x14ac:dyDescent="0.3">
      <c r="A96" s="54">
        <v>101</v>
      </c>
      <c r="B96" s="54" t="s">
        <v>13</v>
      </c>
      <c r="C96" s="58" t="s">
        <v>351</v>
      </c>
      <c r="E96" s="54" t="s">
        <v>13</v>
      </c>
      <c r="F96" s="82">
        <v>48.239999999999995</v>
      </c>
      <c r="M96" s="80">
        <f t="shared" si="12"/>
        <v>48.239999999999995</v>
      </c>
      <c r="N96" t="str">
        <f t="shared" si="13"/>
        <v>31201003</v>
      </c>
    </row>
    <row r="97" spans="1:14" x14ac:dyDescent="0.3">
      <c r="A97" s="54">
        <v>101</v>
      </c>
      <c r="B97" s="54" t="s">
        <v>13</v>
      </c>
      <c r="C97" s="58" t="s">
        <v>364</v>
      </c>
      <c r="E97" s="54" t="s">
        <v>13</v>
      </c>
      <c r="F97" s="82">
        <v>24.119999999999997</v>
      </c>
      <c r="M97" s="80">
        <f t="shared" si="12"/>
        <v>24.119999999999997</v>
      </c>
      <c r="N97" t="str">
        <f t="shared" si="13"/>
        <v>31201003</v>
      </c>
    </row>
    <row r="98" spans="1:14" x14ac:dyDescent="0.3">
      <c r="A98" s="54">
        <v>101</v>
      </c>
      <c r="B98" s="54" t="s">
        <v>13</v>
      </c>
      <c r="C98" s="58" t="s">
        <v>352</v>
      </c>
      <c r="E98" s="54" t="s">
        <v>13</v>
      </c>
      <c r="F98" s="82">
        <v>241.19999999999982</v>
      </c>
      <c r="M98" s="80">
        <f t="shared" si="12"/>
        <v>241.19999999999982</v>
      </c>
      <c r="N98" t="str">
        <f t="shared" si="13"/>
        <v>31201003</v>
      </c>
    </row>
    <row r="99" spans="1:14" x14ac:dyDescent="0.3">
      <c r="A99" s="54">
        <v>101</v>
      </c>
      <c r="B99" s="54" t="s">
        <v>13</v>
      </c>
      <c r="C99" s="58" t="s">
        <v>406</v>
      </c>
      <c r="E99" s="54" t="s">
        <v>13</v>
      </c>
      <c r="F99" s="82">
        <v>16.079999999999998</v>
      </c>
      <c r="M99" s="80">
        <f t="shared" si="12"/>
        <v>16.079999999999998</v>
      </c>
      <c r="N99" t="str">
        <f t="shared" si="13"/>
        <v>31201003</v>
      </c>
    </row>
    <row r="100" spans="1:14" x14ac:dyDescent="0.3">
      <c r="A100" s="54">
        <v>101</v>
      </c>
      <c r="B100" s="54" t="s">
        <v>13</v>
      </c>
      <c r="C100" s="58" t="s">
        <v>353</v>
      </c>
      <c r="E100" s="54" t="s">
        <v>13</v>
      </c>
      <c r="F100" s="82">
        <v>64.319999999999993</v>
      </c>
      <c r="M100" s="80">
        <f t="shared" si="12"/>
        <v>64.319999999999993</v>
      </c>
      <c r="N100" t="str">
        <f t="shared" si="13"/>
        <v>31201003</v>
      </c>
    </row>
    <row r="101" spans="1:14" x14ac:dyDescent="0.3">
      <c r="A101" s="54">
        <v>101</v>
      </c>
      <c r="B101" s="54" t="s">
        <v>13</v>
      </c>
      <c r="C101" s="58" t="s">
        <v>354</v>
      </c>
      <c r="E101" s="54" t="s">
        <v>13</v>
      </c>
      <c r="F101" s="82">
        <v>112.55999999999995</v>
      </c>
      <c r="M101" s="80">
        <f t="shared" si="12"/>
        <v>112.55999999999995</v>
      </c>
      <c r="N101" t="str">
        <f t="shared" si="13"/>
        <v>31201003</v>
      </c>
    </row>
    <row r="102" spans="1:14" x14ac:dyDescent="0.3">
      <c r="A102" s="54">
        <v>101</v>
      </c>
      <c r="B102" s="54" t="s">
        <v>13</v>
      </c>
      <c r="C102" s="58" t="s">
        <v>407</v>
      </c>
      <c r="E102" s="54" t="s">
        <v>13</v>
      </c>
      <c r="F102" s="82">
        <v>24.119999999999997</v>
      </c>
      <c r="M102" s="80">
        <f t="shared" si="12"/>
        <v>24.119999999999997</v>
      </c>
      <c r="N102" t="str">
        <f t="shared" si="13"/>
        <v>31201003</v>
      </c>
    </row>
    <row r="103" spans="1:14" x14ac:dyDescent="0.3">
      <c r="A103" s="54">
        <v>101</v>
      </c>
      <c r="B103" s="54" t="s">
        <v>13</v>
      </c>
      <c r="C103" s="58" t="s">
        <v>355</v>
      </c>
      <c r="E103" s="54" t="s">
        <v>13</v>
      </c>
      <c r="F103" s="82">
        <v>307.00000000000006</v>
      </c>
      <c r="M103" s="80">
        <f t="shared" si="12"/>
        <v>307.00000000000006</v>
      </c>
      <c r="N103" t="str">
        <f t="shared" si="13"/>
        <v>31201003</v>
      </c>
    </row>
    <row r="104" spans="1:14" x14ac:dyDescent="0.3">
      <c r="A104" s="54">
        <v>101</v>
      </c>
      <c r="B104" s="54" t="s">
        <v>13</v>
      </c>
      <c r="C104" s="58" t="s">
        <v>408</v>
      </c>
      <c r="E104" s="54" t="s">
        <v>13</v>
      </c>
      <c r="F104" s="82">
        <v>56.279999999999994</v>
      </c>
      <c r="M104" s="80">
        <f t="shared" si="12"/>
        <v>56.279999999999994</v>
      </c>
      <c r="N104" t="str">
        <f t="shared" si="13"/>
        <v>31201003</v>
      </c>
    </row>
    <row r="105" spans="1:14" x14ac:dyDescent="0.3">
      <c r="A105" s="54">
        <v>101</v>
      </c>
      <c r="B105" s="54" t="s">
        <v>13</v>
      </c>
      <c r="C105" s="58" t="s">
        <v>356</v>
      </c>
      <c r="E105" s="54" t="s">
        <v>13</v>
      </c>
      <c r="F105" s="82">
        <v>104.51999999999995</v>
      </c>
      <c r="M105" s="80">
        <f t="shared" si="12"/>
        <v>104.51999999999995</v>
      </c>
      <c r="N105" t="str">
        <f t="shared" si="13"/>
        <v>31201003</v>
      </c>
    </row>
    <row r="106" spans="1:14" x14ac:dyDescent="0.3">
      <c r="A106" s="54">
        <v>101</v>
      </c>
      <c r="B106" s="54" t="s">
        <v>13</v>
      </c>
      <c r="C106" s="58" t="s">
        <v>357</v>
      </c>
      <c r="E106" s="54" t="s">
        <v>13</v>
      </c>
      <c r="F106" s="82">
        <v>80.399999999999977</v>
      </c>
      <c r="M106" s="80">
        <f t="shared" si="12"/>
        <v>80.399999999999977</v>
      </c>
      <c r="N106" t="str">
        <f t="shared" si="13"/>
        <v>31201003</v>
      </c>
    </row>
    <row r="107" spans="1:14" x14ac:dyDescent="0.3">
      <c r="A107" s="54">
        <v>101</v>
      </c>
      <c r="B107" s="54" t="s">
        <v>13</v>
      </c>
      <c r="C107" s="58" t="s">
        <v>409</v>
      </c>
      <c r="E107" s="54" t="s">
        <v>13</v>
      </c>
      <c r="F107" s="82">
        <v>16.079999999999998</v>
      </c>
      <c r="M107" s="80">
        <f t="shared" si="12"/>
        <v>16.079999999999998</v>
      </c>
      <c r="N107" t="str">
        <f t="shared" si="13"/>
        <v>31201003</v>
      </c>
    </row>
    <row r="108" spans="1:14" x14ac:dyDescent="0.3">
      <c r="A108" s="54">
        <v>101</v>
      </c>
      <c r="B108" s="54" t="s">
        <v>13</v>
      </c>
      <c r="C108" s="58">
        <v>31090</v>
      </c>
      <c r="E108" s="54" t="s">
        <v>13</v>
      </c>
      <c r="F108" s="82">
        <v>8.0399999999999991</v>
      </c>
      <c r="M108" s="80">
        <f t="shared" si="12"/>
        <v>8.0399999999999991</v>
      </c>
      <c r="N108" t="str">
        <f t="shared" si="13"/>
        <v>31201003</v>
      </c>
    </row>
    <row r="109" spans="1:14" x14ac:dyDescent="0.3">
      <c r="A109" s="54">
        <v>101</v>
      </c>
      <c r="B109" s="54" t="s">
        <v>13</v>
      </c>
      <c r="C109" s="58">
        <v>31116</v>
      </c>
      <c r="E109" s="54" t="s">
        <v>13</v>
      </c>
      <c r="F109" s="82">
        <v>16.079999999999998</v>
      </c>
      <c r="M109" s="80">
        <f t="shared" si="12"/>
        <v>16.079999999999998</v>
      </c>
      <c r="N109" t="str">
        <f t="shared" si="13"/>
        <v>31201003</v>
      </c>
    </row>
    <row r="110" spans="1:14" x14ac:dyDescent="0.3">
      <c r="A110" s="54">
        <v>101</v>
      </c>
      <c r="B110" s="54" t="s">
        <v>13</v>
      </c>
      <c r="C110" s="58">
        <v>33050</v>
      </c>
      <c r="E110" s="54" t="s">
        <v>13</v>
      </c>
      <c r="F110" s="82">
        <v>16.079999999999998</v>
      </c>
      <c r="M110" s="80">
        <f t="shared" si="12"/>
        <v>16.079999999999998</v>
      </c>
      <c r="N110" t="str">
        <f t="shared" si="13"/>
        <v>31201003</v>
      </c>
    </row>
    <row r="111" spans="1:14" x14ac:dyDescent="0.3">
      <c r="A111" s="54">
        <v>101</v>
      </c>
      <c r="B111" s="54" t="s">
        <v>13</v>
      </c>
      <c r="C111" s="58">
        <v>14012</v>
      </c>
      <c r="E111" s="54" t="s">
        <v>13</v>
      </c>
      <c r="F111" s="82">
        <v>16.079999999999998</v>
      </c>
      <c r="M111" s="80">
        <f t="shared" si="12"/>
        <v>16.079999999999998</v>
      </c>
      <c r="N111" t="str">
        <f t="shared" si="13"/>
        <v>31201003</v>
      </c>
    </row>
    <row r="112" spans="1:14" x14ac:dyDescent="0.3">
      <c r="A112" s="54">
        <v>101</v>
      </c>
      <c r="B112" s="54" t="s">
        <v>13</v>
      </c>
      <c r="C112" s="58">
        <v>21012</v>
      </c>
      <c r="E112" s="54" t="s">
        <v>13</v>
      </c>
      <c r="F112" s="82">
        <v>8.0399999999999991</v>
      </c>
      <c r="M112" s="80">
        <f t="shared" ref="M112:M114" si="14">F112</f>
        <v>8.0399999999999991</v>
      </c>
      <c r="N112" t="str">
        <f t="shared" ref="N112:N114" si="15">IF(B112="SEGURO DE VIDA EM GRUPO","31201003","31201005")</f>
        <v>31201003</v>
      </c>
    </row>
    <row r="113" spans="1:14" x14ac:dyDescent="0.3">
      <c r="A113" s="54">
        <v>101</v>
      </c>
      <c r="B113" s="54" t="s">
        <v>13</v>
      </c>
      <c r="C113" s="58">
        <v>13016</v>
      </c>
      <c r="E113" s="54" t="s">
        <v>13</v>
      </c>
      <c r="F113" s="82">
        <v>8.0399999999999991</v>
      </c>
      <c r="M113" s="80">
        <f t="shared" si="14"/>
        <v>8.0399999999999991</v>
      </c>
      <c r="N113" t="str">
        <f t="shared" si="15"/>
        <v>31201003</v>
      </c>
    </row>
    <row r="114" spans="1:14" x14ac:dyDescent="0.3">
      <c r="A114" s="54">
        <v>101</v>
      </c>
      <c r="B114" s="54" t="s">
        <v>13</v>
      </c>
      <c r="C114" s="58">
        <v>13021</v>
      </c>
      <c r="E114" s="54" t="s">
        <v>13</v>
      </c>
      <c r="F114" s="82">
        <v>8.0399999999999991</v>
      </c>
      <c r="M114" s="80">
        <f t="shared" si="14"/>
        <v>8.0399999999999991</v>
      </c>
      <c r="N114" t="str">
        <f t="shared" si="15"/>
        <v>31201003</v>
      </c>
    </row>
    <row r="115" spans="1:14" x14ac:dyDescent="0.3">
      <c r="A115" s="54">
        <v>101</v>
      </c>
      <c r="B115" s="54" t="s">
        <v>13</v>
      </c>
      <c r="C115" s="58">
        <v>21011</v>
      </c>
      <c r="E115" s="54" t="s">
        <v>13</v>
      </c>
      <c r="F115" s="82">
        <v>8.0399999999999991</v>
      </c>
      <c r="M115" s="80">
        <f t="shared" ref="M115:M116" si="16">F115</f>
        <v>8.0399999999999991</v>
      </c>
      <c r="N115" t="str">
        <f t="shared" ref="N115:N116" si="17">IF(B115="SEGURO DE VIDA EM GRUPO","31201003","31201005")</f>
        <v>31201003</v>
      </c>
    </row>
    <row r="116" spans="1:14" x14ac:dyDescent="0.3">
      <c r="A116" s="54">
        <v>101</v>
      </c>
      <c r="B116" s="54" t="s">
        <v>13</v>
      </c>
      <c r="C116" s="58">
        <v>33010</v>
      </c>
      <c r="E116" s="54" t="s">
        <v>13</v>
      </c>
      <c r="F116" s="82">
        <v>8.0399999999999991</v>
      </c>
      <c r="M116" s="80">
        <f t="shared" si="16"/>
        <v>8.0399999999999991</v>
      </c>
      <c r="N116" t="str">
        <f t="shared" si="17"/>
        <v>31201003</v>
      </c>
    </row>
    <row r="117" spans="1:14" x14ac:dyDescent="0.3">
      <c r="C117" s="58"/>
      <c r="F117" s="82"/>
      <c r="M117" s="80"/>
    </row>
    <row r="118" spans="1:14" x14ac:dyDescent="0.3">
      <c r="A118" s="54">
        <v>101</v>
      </c>
      <c r="B118" s="54" t="s">
        <v>14</v>
      </c>
      <c r="C118" s="58">
        <v>13014</v>
      </c>
      <c r="E118" s="54" t="s">
        <v>14</v>
      </c>
      <c r="F118" s="82">
        <v>2502.52</v>
      </c>
      <c r="M118" s="80">
        <f t="shared" si="10"/>
        <v>2502.52</v>
      </c>
      <c r="N118" t="str">
        <f t="shared" si="11"/>
        <v>31201005</v>
      </c>
    </row>
    <row r="119" spans="1:14" x14ac:dyDescent="0.3">
      <c r="A119" s="54">
        <v>101</v>
      </c>
      <c r="B119" s="54" t="s">
        <v>14</v>
      </c>
      <c r="C119" s="58">
        <v>14050</v>
      </c>
      <c r="E119" s="54" t="s">
        <v>14</v>
      </c>
      <c r="F119" s="82">
        <v>1238.55</v>
      </c>
      <c r="M119" s="80">
        <f t="shared" si="10"/>
        <v>1238.55</v>
      </c>
      <c r="N119" t="str">
        <f t="shared" si="11"/>
        <v>31201005</v>
      </c>
    </row>
    <row r="120" spans="1:14" x14ac:dyDescent="0.3">
      <c r="A120" s="54">
        <v>101</v>
      </c>
      <c r="B120" s="54" t="s">
        <v>14</v>
      </c>
      <c r="C120" s="58">
        <v>15012</v>
      </c>
      <c r="E120" s="54" t="s">
        <v>14</v>
      </c>
      <c r="F120" s="82">
        <v>2502.52</v>
      </c>
      <c r="M120" s="80">
        <f t="shared" si="10"/>
        <v>2502.52</v>
      </c>
      <c r="N120" t="str">
        <f t="shared" si="11"/>
        <v>31201005</v>
      </c>
    </row>
    <row r="121" spans="1:14" x14ac:dyDescent="0.3">
      <c r="A121" s="54">
        <v>101</v>
      </c>
      <c r="B121" s="54" t="s">
        <v>14</v>
      </c>
      <c r="C121" s="58">
        <v>15056</v>
      </c>
      <c r="E121" s="54" t="s">
        <v>14</v>
      </c>
      <c r="F121" s="82">
        <v>1238.5500000000002</v>
      </c>
      <c r="M121" s="80">
        <f t="shared" si="10"/>
        <v>1238.5500000000002</v>
      </c>
      <c r="N121" t="str">
        <f t="shared" si="11"/>
        <v>31201005</v>
      </c>
    </row>
    <row r="122" spans="1:14" x14ac:dyDescent="0.3">
      <c r="A122" s="54">
        <v>101</v>
      </c>
      <c r="B122" s="54" t="s">
        <v>14</v>
      </c>
      <c r="C122" s="58" t="s">
        <v>358</v>
      </c>
      <c r="E122" s="54" t="s">
        <v>14</v>
      </c>
      <c r="F122" s="82">
        <v>33358.46</v>
      </c>
      <c r="M122" s="80">
        <f t="shared" si="10"/>
        <v>33358.46</v>
      </c>
      <c r="N122" t="str">
        <f t="shared" si="11"/>
        <v>31201005</v>
      </c>
    </row>
    <row r="123" spans="1:14" x14ac:dyDescent="0.3">
      <c r="A123" s="54">
        <v>101</v>
      </c>
      <c r="B123" s="54" t="s">
        <v>14</v>
      </c>
      <c r="C123" s="58" t="s">
        <v>332</v>
      </c>
      <c r="E123" s="54" t="s">
        <v>14</v>
      </c>
      <c r="F123" s="82">
        <v>15015.119999999999</v>
      </c>
      <c r="M123" s="80">
        <f t="shared" si="10"/>
        <v>15015.119999999999</v>
      </c>
      <c r="N123" t="str">
        <f t="shared" si="11"/>
        <v>31201005</v>
      </c>
    </row>
    <row r="124" spans="1:14" x14ac:dyDescent="0.3">
      <c r="A124" s="54">
        <v>101</v>
      </c>
      <c r="B124" s="54" t="s">
        <v>14</v>
      </c>
      <c r="C124" s="58" t="s">
        <v>359</v>
      </c>
      <c r="E124" s="54" t="s">
        <v>14</v>
      </c>
      <c r="F124" s="82">
        <v>7507.5599999999995</v>
      </c>
      <c r="M124" s="80">
        <f t="shared" si="10"/>
        <v>7507.5599999999995</v>
      </c>
      <c r="N124" t="str">
        <f t="shared" si="11"/>
        <v>31201005</v>
      </c>
    </row>
    <row r="125" spans="1:14" x14ac:dyDescent="0.3">
      <c r="A125" s="54">
        <v>101</v>
      </c>
      <c r="B125" s="54" t="s">
        <v>14</v>
      </c>
      <c r="C125" s="58" t="s">
        <v>335</v>
      </c>
      <c r="E125" s="54" t="s">
        <v>14</v>
      </c>
      <c r="F125" s="82">
        <v>5005.04</v>
      </c>
      <c r="M125" s="80">
        <f t="shared" si="10"/>
        <v>5005.04</v>
      </c>
      <c r="N125" t="str">
        <f t="shared" si="11"/>
        <v>31201005</v>
      </c>
    </row>
    <row r="126" spans="1:14" x14ac:dyDescent="0.3">
      <c r="A126" s="54">
        <v>101</v>
      </c>
      <c r="B126" s="54" t="s">
        <v>14</v>
      </c>
      <c r="C126" s="58" t="s">
        <v>340</v>
      </c>
      <c r="E126" s="54" t="s">
        <v>14</v>
      </c>
      <c r="F126" s="82">
        <v>4979.6200000000008</v>
      </c>
      <c r="M126" s="80">
        <f t="shared" si="10"/>
        <v>4979.6200000000008</v>
      </c>
      <c r="N126" t="str">
        <f t="shared" si="11"/>
        <v>31201005</v>
      </c>
    </row>
    <row r="127" spans="1:14" x14ac:dyDescent="0.3">
      <c r="A127" s="54">
        <v>101</v>
      </c>
      <c r="B127" s="54" t="s">
        <v>14</v>
      </c>
      <c r="C127" s="58" t="s">
        <v>361</v>
      </c>
      <c r="E127" s="54" t="s">
        <v>14</v>
      </c>
      <c r="F127" s="82">
        <v>2477.1000000000004</v>
      </c>
      <c r="M127" s="80">
        <f t="shared" si="10"/>
        <v>2477.1000000000004</v>
      </c>
      <c r="N127" t="str">
        <f t="shared" si="11"/>
        <v>31201005</v>
      </c>
    </row>
    <row r="128" spans="1:14" x14ac:dyDescent="0.3">
      <c r="A128" s="54">
        <v>101</v>
      </c>
      <c r="B128" s="54" t="s">
        <v>14</v>
      </c>
      <c r="C128" s="58" t="s">
        <v>343</v>
      </c>
      <c r="E128" s="54" t="s">
        <v>14</v>
      </c>
      <c r="F128" s="82">
        <v>1238.55</v>
      </c>
      <c r="M128" s="80">
        <f t="shared" si="10"/>
        <v>1238.55</v>
      </c>
      <c r="N128" t="str">
        <f t="shared" si="11"/>
        <v>31201005</v>
      </c>
    </row>
    <row r="129" spans="1:14" x14ac:dyDescent="0.3">
      <c r="A129" s="54">
        <v>101</v>
      </c>
      <c r="B129" s="54" t="s">
        <v>14</v>
      </c>
      <c r="C129" s="58" t="s">
        <v>410</v>
      </c>
      <c r="E129" s="54" t="s">
        <v>14</v>
      </c>
      <c r="F129" s="82">
        <v>12798.350000000004</v>
      </c>
      <c r="M129" s="80">
        <f t="shared" ref="M129:M130" si="18">F129</f>
        <v>12798.350000000004</v>
      </c>
      <c r="N129" t="str">
        <f t="shared" ref="N129:N130" si="19">IF(B129="SEGURO DE VIDA EM GRUPO","31201003","31201005")</f>
        <v>31201005</v>
      </c>
    </row>
    <row r="130" spans="1:14" x14ac:dyDescent="0.3">
      <c r="A130" s="54">
        <v>101</v>
      </c>
      <c r="B130" s="54" t="s">
        <v>14</v>
      </c>
      <c r="C130" s="58" t="s">
        <v>403</v>
      </c>
      <c r="E130" s="54" t="s">
        <v>14</v>
      </c>
      <c r="F130" s="82">
        <v>6605.6000000000022</v>
      </c>
      <c r="M130" s="80">
        <f t="shared" si="18"/>
        <v>6605.6000000000022</v>
      </c>
      <c r="N130" t="str">
        <f t="shared" si="19"/>
        <v>31201005</v>
      </c>
    </row>
    <row r="131" spans="1:14" x14ac:dyDescent="0.3">
      <c r="A131" s="54">
        <v>101</v>
      </c>
      <c r="B131" s="54" t="s">
        <v>14</v>
      </c>
      <c r="C131" s="58" t="s">
        <v>362</v>
      </c>
      <c r="E131" s="54" t="s">
        <v>14</v>
      </c>
      <c r="F131" s="82">
        <v>10734.100000000006</v>
      </c>
      <c r="M131" s="80">
        <f t="shared" ref="M131:M142" si="20">F131</f>
        <v>10734.100000000006</v>
      </c>
      <c r="N131" t="str">
        <f t="shared" ref="N131:N142" si="21">IF(B131="SEGURO DE VIDA EM GRUPO","31201003","31201005")</f>
        <v>31201005</v>
      </c>
    </row>
    <row r="132" spans="1:14" x14ac:dyDescent="0.3">
      <c r="A132" s="54">
        <v>101</v>
      </c>
      <c r="B132" s="54" t="s">
        <v>14</v>
      </c>
      <c r="C132" s="58" t="s">
        <v>363</v>
      </c>
      <c r="E132" s="54" t="s">
        <v>14</v>
      </c>
      <c r="F132" s="82">
        <v>7431.300000000002</v>
      </c>
      <c r="M132" s="80">
        <f t="shared" si="20"/>
        <v>7431.300000000002</v>
      </c>
      <c r="N132" t="str">
        <f t="shared" si="21"/>
        <v>31201005</v>
      </c>
    </row>
    <row r="133" spans="1:14" x14ac:dyDescent="0.3">
      <c r="A133" s="54">
        <v>101</v>
      </c>
      <c r="B133" s="54" t="s">
        <v>14</v>
      </c>
      <c r="C133" s="58" t="s">
        <v>372</v>
      </c>
      <c r="E133" s="54" t="s">
        <v>14</v>
      </c>
      <c r="F133" s="82">
        <v>7431.300000000002</v>
      </c>
      <c r="M133" s="80">
        <f t="shared" ref="M133:M134" si="22">F133</f>
        <v>7431.300000000002</v>
      </c>
      <c r="N133" t="str">
        <f t="shared" ref="N133:N134" si="23">IF(B133="SEGURO DE VIDA EM GRUPO","31201003","31201005")</f>
        <v>31201005</v>
      </c>
    </row>
    <row r="134" spans="1:14" x14ac:dyDescent="0.3">
      <c r="A134" s="54">
        <v>101</v>
      </c>
      <c r="B134" s="54" t="s">
        <v>14</v>
      </c>
      <c r="C134" s="58" t="s">
        <v>344</v>
      </c>
      <c r="E134" s="54" t="s">
        <v>14</v>
      </c>
      <c r="F134" s="82">
        <v>7507.56</v>
      </c>
      <c r="M134" s="80">
        <f t="shared" si="22"/>
        <v>7507.56</v>
      </c>
      <c r="N134" t="str">
        <f t="shared" si="23"/>
        <v>31201005</v>
      </c>
    </row>
    <row r="135" spans="1:14" x14ac:dyDescent="0.3">
      <c r="A135" s="54">
        <v>101</v>
      </c>
      <c r="B135" s="54" t="s">
        <v>14</v>
      </c>
      <c r="C135" s="58" t="s">
        <v>355</v>
      </c>
      <c r="E135" s="54" t="s">
        <v>14</v>
      </c>
      <c r="F135" s="82">
        <v>10422.93</v>
      </c>
      <c r="M135" s="80">
        <f t="shared" ref="M135" si="24">F135</f>
        <v>10422.93</v>
      </c>
      <c r="N135" t="str">
        <f t="shared" ref="N135" si="25">IF(B135="SEGURO DE VIDA EM GRUPO","31201003","31201005")</f>
        <v>31201005</v>
      </c>
    </row>
    <row r="136" spans="1:14" x14ac:dyDescent="0.3">
      <c r="M136" s="80"/>
    </row>
    <row r="137" spans="1:14" x14ac:dyDescent="0.3">
      <c r="A137" s="54">
        <v>106</v>
      </c>
      <c r="B137" s="54" t="s">
        <v>330</v>
      </c>
      <c r="C137" s="55" t="s">
        <v>335</v>
      </c>
      <c r="F137" s="79">
        <v>8.0399999999999991</v>
      </c>
      <c r="M137" s="80">
        <f t="shared" si="20"/>
        <v>8.0399999999999991</v>
      </c>
      <c r="N137" t="str">
        <f t="shared" si="21"/>
        <v>31201005</v>
      </c>
    </row>
    <row r="138" spans="1:14" x14ac:dyDescent="0.3">
      <c r="A138" s="54">
        <v>106</v>
      </c>
      <c r="B138" s="54" t="s">
        <v>330</v>
      </c>
      <c r="C138" s="55" t="s">
        <v>365</v>
      </c>
      <c r="F138" s="79">
        <v>56.28</v>
      </c>
      <c r="M138" s="80">
        <f t="shared" si="20"/>
        <v>56.28</v>
      </c>
      <c r="N138" t="str">
        <f t="shared" si="21"/>
        <v>31201005</v>
      </c>
    </row>
    <row r="139" spans="1:14" x14ac:dyDescent="0.3">
      <c r="A139" s="54">
        <v>106</v>
      </c>
      <c r="B139" s="54" t="s">
        <v>330</v>
      </c>
      <c r="C139" s="55" t="s">
        <v>366</v>
      </c>
      <c r="F139" s="79">
        <v>209.04</v>
      </c>
      <c r="M139" s="80">
        <f t="shared" si="20"/>
        <v>209.04</v>
      </c>
      <c r="N139" t="str">
        <f t="shared" si="21"/>
        <v>31201005</v>
      </c>
    </row>
    <row r="140" spans="1:14" x14ac:dyDescent="0.3">
      <c r="A140" s="54">
        <v>106</v>
      </c>
      <c r="B140" s="54" t="s">
        <v>330</v>
      </c>
      <c r="C140" s="55" t="s">
        <v>367</v>
      </c>
      <c r="F140" s="79">
        <v>168.84</v>
      </c>
      <c r="M140" s="80">
        <f t="shared" si="20"/>
        <v>168.84</v>
      </c>
      <c r="N140" t="str">
        <f t="shared" si="21"/>
        <v>31201005</v>
      </c>
    </row>
    <row r="141" spans="1:14" x14ac:dyDescent="0.3">
      <c r="A141" s="54">
        <v>106</v>
      </c>
      <c r="B141" s="54" t="s">
        <v>330</v>
      </c>
      <c r="C141" s="55" t="s">
        <v>368</v>
      </c>
      <c r="F141" s="79">
        <v>112.56</v>
      </c>
      <c r="M141" s="80">
        <f t="shared" si="20"/>
        <v>112.56</v>
      </c>
      <c r="N141" t="str">
        <f t="shared" si="21"/>
        <v>31201005</v>
      </c>
    </row>
    <row r="142" spans="1:14" x14ac:dyDescent="0.3">
      <c r="A142" s="54">
        <v>106</v>
      </c>
      <c r="B142" s="54" t="s">
        <v>330</v>
      </c>
      <c r="C142" s="55" t="s">
        <v>369</v>
      </c>
      <c r="F142" s="79">
        <v>24.12</v>
      </c>
      <c r="M142" s="80">
        <f t="shared" si="20"/>
        <v>24.12</v>
      </c>
      <c r="N142" t="str">
        <f t="shared" si="21"/>
        <v>31201005</v>
      </c>
    </row>
    <row r="143" spans="1:14" x14ac:dyDescent="0.3">
      <c r="A143" s="54">
        <v>106</v>
      </c>
      <c r="B143" s="54" t="s">
        <v>330</v>
      </c>
      <c r="C143" s="55" t="s">
        <v>370</v>
      </c>
      <c r="F143" s="79">
        <v>64.319999999999993</v>
      </c>
      <c r="M143" s="80">
        <f t="shared" ref="M143" si="26">F143</f>
        <v>64.319999999999993</v>
      </c>
      <c r="N143" t="str">
        <f t="shared" ref="N143" si="27">IF(B143="SEGURO DE VIDA EM GRUPO","31201003","31201005")</f>
        <v>31201005</v>
      </c>
    </row>
    <row r="144" spans="1:14" x14ac:dyDescent="0.3">
      <c r="M144" s="80"/>
    </row>
    <row r="145" spans="1:14" x14ac:dyDescent="0.3">
      <c r="A145" s="54">
        <v>104</v>
      </c>
      <c r="B145" s="54" t="s">
        <v>330</v>
      </c>
      <c r="C145" s="55" t="s">
        <v>362</v>
      </c>
      <c r="F145" s="83">
        <v>297.48</v>
      </c>
      <c r="M145" s="80">
        <f t="shared" ref="M145:M170" si="28">F145</f>
        <v>297.48</v>
      </c>
      <c r="N145" t="str">
        <f t="shared" ref="N145:N170" si="29">IF(B145="SEGURO DE VIDA EM GRUPO","31201003","31201005")</f>
        <v>31201005</v>
      </c>
    </row>
    <row r="146" spans="1:14" x14ac:dyDescent="0.3">
      <c r="A146" s="54">
        <v>104</v>
      </c>
      <c r="B146" s="54" t="s">
        <v>330</v>
      </c>
      <c r="C146" s="55" t="s">
        <v>363</v>
      </c>
      <c r="F146" s="83">
        <v>176.88</v>
      </c>
      <c r="M146" s="80">
        <f t="shared" ref="M146:M148" si="30">F146</f>
        <v>176.88</v>
      </c>
      <c r="N146" t="str">
        <f t="shared" ref="N146:N148" si="31">IF(B146="SEGURO DE VIDA EM GRUPO","31201003","31201005")</f>
        <v>31201005</v>
      </c>
    </row>
    <row r="147" spans="1:14" x14ac:dyDescent="0.3">
      <c r="A147" s="54">
        <v>104</v>
      </c>
      <c r="B147" s="54" t="s">
        <v>330</v>
      </c>
      <c r="C147" s="55" t="s">
        <v>372</v>
      </c>
      <c r="F147" s="83">
        <v>152.76</v>
      </c>
      <c r="M147" s="80">
        <f t="shared" si="30"/>
        <v>152.76</v>
      </c>
      <c r="N147" t="str">
        <f t="shared" si="31"/>
        <v>31201005</v>
      </c>
    </row>
    <row r="148" spans="1:14" x14ac:dyDescent="0.3">
      <c r="A148" s="54">
        <v>104</v>
      </c>
      <c r="B148" s="54" t="s">
        <v>330</v>
      </c>
      <c r="C148" s="55" t="s">
        <v>371</v>
      </c>
      <c r="F148" s="83">
        <v>48.24</v>
      </c>
      <c r="M148" s="80">
        <f t="shared" si="30"/>
        <v>48.24</v>
      </c>
      <c r="N148" t="str">
        <f t="shared" si="31"/>
        <v>31201005</v>
      </c>
    </row>
    <row r="149" spans="1:14" x14ac:dyDescent="0.3">
      <c r="F149" s="83"/>
      <c r="M149" s="80"/>
    </row>
    <row r="150" spans="1:14" x14ac:dyDescent="0.3">
      <c r="A150" s="54">
        <v>101</v>
      </c>
      <c r="B150" s="54" t="s">
        <v>308</v>
      </c>
      <c r="C150" s="55" t="s">
        <v>333</v>
      </c>
      <c r="F150" s="73">
        <v>213.6</v>
      </c>
      <c r="M150" s="80">
        <f t="shared" si="28"/>
        <v>213.6</v>
      </c>
      <c r="N150" t="str">
        <f t="shared" si="29"/>
        <v>31201005</v>
      </c>
    </row>
    <row r="151" spans="1:14" x14ac:dyDescent="0.3">
      <c r="A151" s="54">
        <v>101</v>
      </c>
      <c r="B151" s="54" t="s">
        <v>308</v>
      </c>
      <c r="C151" s="55" t="s">
        <v>335</v>
      </c>
      <c r="F151" s="73">
        <v>48</v>
      </c>
      <c r="M151" s="80">
        <f t="shared" si="28"/>
        <v>48</v>
      </c>
      <c r="N151" t="str">
        <f t="shared" si="29"/>
        <v>31201005</v>
      </c>
    </row>
    <row r="152" spans="1:14" x14ac:dyDescent="0.3">
      <c r="A152" s="54">
        <v>101</v>
      </c>
      <c r="B152" s="54" t="s">
        <v>308</v>
      </c>
      <c r="C152" s="55" t="s">
        <v>400</v>
      </c>
      <c r="F152" s="73">
        <v>105</v>
      </c>
      <c r="M152" s="80">
        <f t="shared" si="28"/>
        <v>105</v>
      </c>
      <c r="N152" t="str">
        <f t="shared" si="29"/>
        <v>31201005</v>
      </c>
    </row>
    <row r="153" spans="1:14" x14ac:dyDescent="0.3">
      <c r="A153" s="54">
        <v>101</v>
      </c>
      <c r="B153" s="54" t="s">
        <v>308</v>
      </c>
      <c r="C153" s="55" t="s">
        <v>401</v>
      </c>
      <c r="F153" s="73">
        <v>85</v>
      </c>
      <c r="M153" s="80">
        <f t="shared" si="28"/>
        <v>85</v>
      </c>
      <c r="N153" t="str">
        <f t="shared" si="29"/>
        <v>31201005</v>
      </c>
    </row>
    <row r="154" spans="1:14" x14ac:dyDescent="0.3">
      <c r="A154" s="54">
        <v>101</v>
      </c>
      <c r="B154" s="54" t="s">
        <v>308</v>
      </c>
      <c r="C154" s="55" t="s">
        <v>402</v>
      </c>
      <c r="F154" s="73">
        <v>224.15</v>
      </c>
      <c r="M154" s="80">
        <f t="shared" si="28"/>
        <v>224.15</v>
      </c>
      <c r="N154" t="str">
        <f t="shared" si="29"/>
        <v>31201005</v>
      </c>
    </row>
    <row r="155" spans="1:14" x14ac:dyDescent="0.3">
      <c r="A155" s="54">
        <v>101</v>
      </c>
      <c r="B155" s="54" t="s">
        <v>308</v>
      </c>
      <c r="C155" s="55" t="s">
        <v>345</v>
      </c>
      <c r="F155" s="73">
        <v>222</v>
      </c>
      <c r="M155" s="80">
        <f t="shared" si="28"/>
        <v>222</v>
      </c>
      <c r="N155" t="str">
        <f t="shared" si="29"/>
        <v>31201005</v>
      </c>
    </row>
    <row r="156" spans="1:14" x14ac:dyDescent="0.3">
      <c r="A156" s="54">
        <v>101</v>
      </c>
      <c r="B156" s="54" t="s">
        <v>308</v>
      </c>
      <c r="C156" s="55" t="s">
        <v>346</v>
      </c>
      <c r="F156" s="73">
        <v>175.45</v>
      </c>
      <c r="M156" s="80">
        <f t="shared" si="28"/>
        <v>175.45</v>
      </c>
      <c r="N156" t="str">
        <f t="shared" si="29"/>
        <v>31201005</v>
      </c>
    </row>
    <row r="157" spans="1:14" x14ac:dyDescent="0.3">
      <c r="A157" s="54">
        <v>101</v>
      </c>
      <c r="B157" s="54" t="s">
        <v>308</v>
      </c>
      <c r="C157" s="55" t="s">
        <v>347</v>
      </c>
      <c r="F157" s="73">
        <v>1013.6</v>
      </c>
      <c r="M157" s="80">
        <f t="shared" si="28"/>
        <v>1013.6</v>
      </c>
      <c r="N157" t="str">
        <f t="shared" si="29"/>
        <v>31201005</v>
      </c>
    </row>
    <row r="158" spans="1:14" x14ac:dyDescent="0.3">
      <c r="A158" s="54">
        <v>101</v>
      </c>
      <c r="B158" s="54" t="s">
        <v>308</v>
      </c>
      <c r="C158" s="55" t="s">
        <v>348</v>
      </c>
      <c r="F158" s="73">
        <v>132</v>
      </c>
      <c r="M158" s="80">
        <f t="shared" si="28"/>
        <v>132</v>
      </c>
      <c r="N158" t="str">
        <f t="shared" si="29"/>
        <v>31201005</v>
      </c>
    </row>
    <row r="159" spans="1:14" x14ac:dyDescent="0.3">
      <c r="A159" s="54">
        <v>101</v>
      </c>
      <c r="B159" s="54" t="s">
        <v>308</v>
      </c>
      <c r="C159" s="55" t="s">
        <v>349</v>
      </c>
      <c r="F159" s="73">
        <v>968.90000000000009</v>
      </c>
      <c r="M159" s="80">
        <f t="shared" si="28"/>
        <v>968.90000000000009</v>
      </c>
      <c r="N159" t="str">
        <f t="shared" si="29"/>
        <v>31201005</v>
      </c>
    </row>
    <row r="160" spans="1:14" x14ac:dyDescent="0.3">
      <c r="A160" s="54">
        <v>101</v>
      </c>
      <c r="B160" s="54" t="s">
        <v>308</v>
      </c>
      <c r="C160" s="55" t="s">
        <v>405</v>
      </c>
      <c r="F160" s="73">
        <v>35</v>
      </c>
      <c r="M160" s="80">
        <f t="shared" si="28"/>
        <v>35</v>
      </c>
      <c r="N160" t="str">
        <f t="shared" si="29"/>
        <v>31201005</v>
      </c>
    </row>
    <row r="161" spans="1:14" x14ac:dyDescent="0.3">
      <c r="A161" s="54">
        <v>101</v>
      </c>
      <c r="B161" s="54" t="s">
        <v>308</v>
      </c>
      <c r="C161" s="55" t="s">
        <v>350</v>
      </c>
      <c r="F161" s="73">
        <v>142</v>
      </c>
      <c r="M161" s="80">
        <f t="shared" si="28"/>
        <v>142</v>
      </c>
      <c r="N161" t="str">
        <f t="shared" si="29"/>
        <v>31201005</v>
      </c>
    </row>
    <row r="162" spans="1:14" x14ac:dyDescent="0.3">
      <c r="A162" s="54">
        <v>101</v>
      </c>
      <c r="B162" s="54" t="s">
        <v>308</v>
      </c>
      <c r="C162" s="55" t="s">
        <v>351</v>
      </c>
      <c r="F162" s="73">
        <v>195</v>
      </c>
      <c r="M162" s="80">
        <f t="shared" si="28"/>
        <v>195</v>
      </c>
      <c r="N162" t="str">
        <f t="shared" si="29"/>
        <v>31201005</v>
      </c>
    </row>
    <row r="163" spans="1:14" x14ac:dyDescent="0.3">
      <c r="A163" s="54">
        <v>101</v>
      </c>
      <c r="B163" s="54" t="s">
        <v>308</v>
      </c>
      <c r="C163" s="55" t="s">
        <v>352</v>
      </c>
      <c r="F163" s="73">
        <v>470</v>
      </c>
      <c r="M163" s="80">
        <f t="shared" si="28"/>
        <v>470</v>
      </c>
      <c r="N163" t="str">
        <f t="shared" si="29"/>
        <v>31201005</v>
      </c>
    </row>
    <row r="164" spans="1:14" x14ac:dyDescent="0.3">
      <c r="A164" s="54">
        <v>101</v>
      </c>
      <c r="B164" s="54" t="s">
        <v>308</v>
      </c>
      <c r="C164" s="55" t="s">
        <v>353</v>
      </c>
      <c r="F164" s="73">
        <v>172</v>
      </c>
      <c r="M164" s="80">
        <f t="shared" si="28"/>
        <v>172</v>
      </c>
      <c r="N164" t="str">
        <f t="shared" si="29"/>
        <v>31201005</v>
      </c>
    </row>
    <row r="165" spans="1:14" x14ac:dyDescent="0.3">
      <c r="A165" s="54">
        <v>101</v>
      </c>
      <c r="B165" s="54" t="s">
        <v>308</v>
      </c>
      <c r="C165" s="55" t="s">
        <v>354</v>
      </c>
      <c r="F165" s="73">
        <v>489.9</v>
      </c>
      <c r="M165" s="80">
        <f t="shared" si="28"/>
        <v>489.9</v>
      </c>
      <c r="N165" t="str">
        <f t="shared" si="29"/>
        <v>31201005</v>
      </c>
    </row>
    <row r="166" spans="1:14" x14ac:dyDescent="0.3">
      <c r="A166" s="54">
        <v>101</v>
      </c>
      <c r="B166" s="54" t="s">
        <v>308</v>
      </c>
      <c r="C166" s="55" t="s">
        <v>407</v>
      </c>
      <c r="F166" s="73">
        <v>130</v>
      </c>
      <c r="M166" s="80">
        <f t="shared" si="28"/>
        <v>130</v>
      </c>
      <c r="N166" t="str">
        <f t="shared" si="29"/>
        <v>31201005</v>
      </c>
    </row>
    <row r="167" spans="1:14" x14ac:dyDescent="0.3">
      <c r="A167" s="54">
        <v>101</v>
      </c>
      <c r="B167" s="54" t="s">
        <v>308</v>
      </c>
      <c r="C167" s="55" t="s">
        <v>355</v>
      </c>
      <c r="F167" s="73">
        <v>198</v>
      </c>
      <c r="M167" s="80">
        <f t="shared" si="28"/>
        <v>198</v>
      </c>
      <c r="N167" t="str">
        <f t="shared" si="29"/>
        <v>31201005</v>
      </c>
    </row>
    <row r="168" spans="1:14" x14ac:dyDescent="0.3">
      <c r="A168" s="54">
        <v>101</v>
      </c>
      <c r="B168" s="54" t="s">
        <v>308</v>
      </c>
      <c r="C168" s="55" t="s">
        <v>408</v>
      </c>
      <c r="F168" s="73">
        <v>129.6</v>
      </c>
      <c r="M168" s="80">
        <f t="shared" si="28"/>
        <v>129.6</v>
      </c>
      <c r="N168" t="str">
        <f t="shared" si="29"/>
        <v>31201005</v>
      </c>
    </row>
    <row r="169" spans="1:14" x14ac:dyDescent="0.3">
      <c r="A169" s="54">
        <v>101</v>
      </c>
      <c r="B169" s="54" t="s">
        <v>308</v>
      </c>
      <c r="C169" s="55" t="s">
        <v>356</v>
      </c>
      <c r="F169" s="73">
        <v>90</v>
      </c>
      <c r="M169" s="80">
        <f t="shared" si="28"/>
        <v>90</v>
      </c>
      <c r="N169" t="str">
        <f t="shared" si="29"/>
        <v>31201005</v>
      </c>
    </row>
    <row r="170" spans="1:14" x14ac:dyDescent="0.3">
      <c r="A170" s="54">
        <v>101</v>
      </c>
      <c r="B170" s="54" t="s">
        <v>308</v>
      </c>
      <c r="C170" s="55" t="s">
        <v>357</v>
      </c>
      <c r="F170" s="73">
        <v>187</v>
      </c>
      <c r="M170" s="80">
        <f t="shared" si="28"/>
        <v>187</v>
      </c>
      <c r="N170" t="str">
        <f t="shared" si="29"/>
        <v>31201005</v>
      </c>
    </row>
    <row r="171" spans="1:14" x14ac:dyDescent="0.3">
      <c r="A171" s="54">
        <v>101</v>
      </c>
      <c r="B171" s="54" t="s">
        <v>308</v>
      </c>
      <c r="C171" s="55" t="s">
        <v>409</v>
      </c>
      <c r="F171" s="83">
        <v>75</v>
      </c>
      <c r="M171" s="80">
        <f t="shared" ref="M171" si="32">F171</f>
        <v>75</v>
      </c>
      <c r="N171" t="str">
        <f t="shared" ref="N171" si="33">IF(B171="SEGURO DE VIDA EM GRUPO","31201003","31201005")</f>
        <v>31201005</v>
      </c>
    </row>
    <row r="172" spans="1:14" x14ac:dyDescent="0.3">
      <c r="F172" s="83"/>
      <c r="M172" s="80"/>
    </row>
    <row r="173" spans="1:14" x14ac:dyDescent="0.3">
      <c r="A173" s="54">
        <v>101</v>
      </c>
      <c r="B173" s="54" t="s">
        <v>309</v>
      </c>
      <c r="C173" s="55">
        <v>15056</v>
      </c>
      <c r="F173" s="84">
        <v>43.650000000000006</v>
      </c>
      <c r="M173" s="80">
        <f t="shared" ref="M173:M211" si="34">F173</f>
        <v>43.650000000000006</v>
      </c>
      <c r="N173" t="str">
        <f t="shared" ref="N173:N211" si="35">IF(B173="SEGURO DE VIDA EM GRUPO","31201003","31201005")</f>
        <v>31201005</v>
      </c>
    </row>
    <row r="174" spans="1:14" x14ac:dyDescent="0.3">
      <c r="A174" s="54">
        <v>101</v>
      </c>
      <c r="B174" s="54" t="s">
        <v>309</v>
      </c>
      <c r="C174" s="55">
        <v>15058</v>
      </c>
      <c r="F174" s="84">
        <v>-14.55</v>
      </c>
      <c r="M174" s="80">
        <f t="shared" si="34"/>
        <v>-14.55</v>
      </c>
      <c r="N174" t="str">
        <f t="shared" si="35"/>
        <v>31201005</v>
      </c>
    </row>
    <row r="175" spans="1:14" x14ac:dyDescent="0.3">
      <c r="A175" s="54">
        <v>101</v>
      </c>
      <c r="B175" s="54" t="s">
        <v>309</v>
      </c>
      <c r="C175" s="55" t="s">
        <v>334</v>
      </c>
      <c r="F175" s="84">
        <v>43.650000000000006</v>
      </c>
      <c r="M175" s="80">
        <f t="shared" si="34"/>
        <v>43.650000000000006</v>
      </c>
      <c r="N175" t="str">
        <f t="shared" si="35"/>
        <v>31201005</v>
      </c>
    </row>
    <row r="176" spans="1:14" x14ac:dyDescent="0.3">
      <c r="A176" s="54">
        <v>101</v>
      </c>
      <c r="B176" s="54" t="s">
        <v>309</v>
      </c>
      <c r="C176" s="55" t="s">
        <v>336</v>
      </c>
      <c r="F176" s="84">
        <v>43.65</v>
      </c>
      <c r="M176" s="80">
        <f t="shared" si="34"/>
        <v>43.65</v>
      </c>
      <c r="N176" t="str">
        <f t="shared" si="35"/>
        <v>31201005</v>
      </c>
    </row>
    <row r="177" spans="1:14" x14ac:dyDescent="0.3">
      <c r="A177" s="54">
        <v>101</v>
      </c>
      <c r="B177" s="54" t="s">
        <v>309</v>
      </c>
      <c r="C177" s="55" t="s">
        <v>337</v>
      </c>
      <c r="F177" s="73">
        <v>43.650000000000006</v>
      </c>
      <c r="M177" s="80">
        <f t="shared" si="34"/>
        <v>43.650000000000006</v>
      </c>
      <c r="N177" t="str">
        <f t="shared" si="35"/>
        <v>31201005</v>
      </c>
    </row>
    <row r="178" spans="1:14" x14ac:dyDescent="0.3">
      <c r="A178" s="54">
        <v>101</v>
      </c>
      <c r="B178" s="54" t="s">
        <v>309</v>
      </c>
      <c r="C178" s="55" t="s">
        <v>338</v>
      </c>
      <c r="F178" s="73">
        <v>72.75</v>
      </c>
      <c r="M178" s="80">
        <f t="shared" si="34"/>
        <v>72.75</v>
      </c>
      <c r="N178" t="str">
        <f t="shared" si="35"/>
        <v>31201005</v>
      </c>
    </row>
    <row r="179" spans="1:14" x14ac:dyDescent="0.3">
      <c r="A179" s="54">
        <v>101</v>
      </c>
      <c r="B179" s="54" t="s">
        <v>309</v>
      </c>
      <c r="C179" s="55" t="s">
        <v>339</v>
      </c>
      <c r="F179" s="73">
        <v>14.55</v>
      </c>
      <c r="M179" s="80">
        <f t="shared" si="34"/>
        <v>14.55</v>
      </c>
      <c r="N179" t="str">
        <f t="shared" si="35"/>
        <v>31201005</v>
      </c>
    </row>
    <row r="180" spans="1:14" x14ac:dyDescent="0.3">
      <c r="A180" s="54">
        <v>101</v>
      </c>
      <c r="B180" s="54" t="s">
        <v>309</v>
      </c>
      <c r="C180" s="55" t="s">
        <v>361</v>
      </c>
      <c r="F180" s="84">
        <v>101.85000000000001</v>
      </c>
      <c r="M180" s="80">
        <f t="shared" si="34"/>
        <v>101.85000000000001</v>
      </c>
      <c r="N180" t="str">
        <f t="shared" si="35"/>
        <v>31201005</v>
      </c>
    </row>
    <row r="181" spans="1:14" x14ac:dyDescent="0.3">
      <c r="A181" s="54">
        <v>101</v>
      </c>
      <c r="B181" s="54" t="s">
        <v>309</v>
      </c>
      <c r="C181" s="55" t="s">
        <v>343</v>
      </c>
      <c r="F181" s="84">
        <v>14.55</v>
      </c>
      <c r="M181" s="80">
        <f t="shared" si="34"/>
        <v>14.55</v>
      </c>
      <c r="N181" t="str">
        <f t="shared" si="35"/>
        <v>31201005</v>
      </c>
    </row>
    <row r="182" spans="1:14" x14ac:dyDescent="0.3">
      <c r="A182" s="54">
        <v>101</v>
      </c>
      <c r="B182" s="54" t="s">
        <v>309</v>
      </c>
      <c r="C182" s="55" t="s">
        <v>410</v>
      </c>
      <c r="F182" s="84">
        <v>421.95000000000016</v>
      </c>
      <c r="M182" s="80">
        <f t="shared" si="34"/>
        <v>421.95000000000016</v>
      </c>
      <c r="N182" t="str">
        <f t="shared" si="35"/>
        <v>31201005</v>
      </c>
    </row>
    <row r="183" spans="1:14" x14ac:dyDescent="0.3">
      <c r="A183" s="54">
        <v>101</v>
      </c>
      <c r="B183" s="54" t="s">
        <v>309</v>
      </c>
      <c r="C183" s="55" t="s">
        <v>403</v>
      </c>
      <c r="F183" s="84">
        <v>247.35000000000011</v>
      </c>
      <c r="M183" s="80">
        <f t="shared" si="34"/>
        <v>247.35000000000011</v>
      </c>
      <c r="N183" t="str">
        <f t="shared" si="35"/>
        <v>31201005</v>
      </c>
    </row>
    <row r="184" spans="1:14" x14ac:dyDescent="0.3">
      <c r="A184" s="54">
        <v>101</v>
      </c>
      <c r="B184" s="54" t="s">
        <v>309</v>
      </c>
      <c r="C184" s="55" t="s">
        <v>362</v>
      </c>
      <c r="F184" s="84">
        <v>349.20000000000016</v>
      </c>
      <c r="M184" s="80">
        <f t="shared" si="34"/>
        <v>349.20000000000016</v>
      </c>
      <c r="N184" t="str">
        <f t="shared" si="35"/>
        <v>31201005</v>
      </c>
    </row>
    <row r="185" spans="1:14" x14ac:dyDescent="0.3">
      <c r="A185" s="54">
        <v>101</v>
      </c>
      <c r="B185" s="54" t="s">
        <v>309</v>
      </c>
      <c r="C185" s="55" t="s">
        <v>363</v>
      </c>
      <c r="F185" s="84">
        <v>232.80000000000007</v>
      </c>
      <c r="M185" s="80">
        <f t="shared" si="34"/>
        <v>232.80000000000007</v>
      </c>
      <c r="N185" t="str">
        <f t="shared" si="35"/>
        <v>31201005</v>
      </c>
    </row>
    <row r="186" spans="1:14" x14ac:dyDescent="0.3">
      <c r="A186" s="54">
        <v>101</v>
      </c>
      <c r="B186" s="54" t="s">
        <v>309</v>
      </c>
      <c r="C186" s="55" t="s">
        <v>372</v>
      </c>
      <c r="F186" s="84">
        <v>247.35000000000005</v>
      </c>
      <c r="M186" s="80">
        <f t="shared" si="34"/>
        <v>247.35000000000005</v>
      </c>
      <c r="N186" t="str">
        <f t="shared" si="35"/>
        <v>31201005</v>
      </c>
    </row>
    <row r="187" spans="1:14" x14ac:dyDescent="0.3">
      <c r="A187" s="54">
        <v>101</v>
      </c>
      <c r="B187" s="54" t="s">
        <v>309</v>
      </c>
      <c r="C187" s="55" t="s">
        <v>344</v>
      </c>
      <c r="F187" s="84">
        <v>87.3</v>
      </c>
      <c r="M187" s="80">
        <f t="shared" si="34"/>
        <v>87.3</v>
      </c>
      <c r="N187" t="str">
        <f t="shared" si="35"/>
        <v>31201005</v>
      </c>
    </row>
    <row r="188" spans="1:14" x14ac:dyDescent="0.3">
      <c r="A188" s="54">
        <v>101</v>
      </c>
      <c r="B188" s="54" t="s">
        <v>309</v>
      </c>
      <c r="C188" s="55" t="s">
        <v>345</v>
      </c>
      <c r="F188" s="84">
        <v>58.2</v>
      </c>
      <c r="M188" s="80">
        <f t="shared" si="34"/>
        <v>58.2</v>
      </c>
      <c r="N188" t="str">
        <f t="shared" si="35"/>
        <v>31201005</v>
      </c>
    </row>
    <row r="189" spans="1:14" x14ac:dyDescent="0.3">
      <c r="A189" s="54">
        <v>101</v>
      </c>
      <c r="B189" s="54" t="s">
        <v>309</v>
      </c>
      <c r="C189" s="55" t="s">
        <v>404</v>
      </c>
      <c r="F189" s="84">
        <v>43.65</v>
      </c>
      <c r="M189" s="80">
        <f t="shared" si="34"/>
        <v>43.65</v>
      </c>
      <c r="N189" t="str">
        <f t="shared" si="35"/>
        <v>31201005</v>
      </c>
    </row>
    <row r="190" spans="1:14" x14ac:dyDescent="0.3">
      <c r="A190" s="54">
        <v>101</v>
      </c>
      <c r="B190" s="54" t="s">
        <v>309</v>
      </c>
      <c r="C190" s="55" t="s">
        <v>346</v>
      </c>
      <c r="F190" s="84">
        <v>43.65</v>
      </c>
      <c r="M190" s="80">
        <f t="shared" si="34"/>
        <v>43.65</v>
      </c>
      <c r="N190" t="str">
        <f t="shared" si="35"/>
        <v>31201005</v>
      </c>
    </row>
    <row r="191" spans="1:14" x14ac:dyDescent="0.3">
      <c r="A191" s="54">
        <v>101</v>
      </c>
      <c r="B191" s="54" t="s">
        <v>309</v>
      </c>
      <c r="C191" s="55" t="s">
        <v>347</v>
      </c>
      <c r="F191" s="84">
        <v>261.90000000000003</v>
      </c>
      <c r="M191" s="80">
        <f t="shared" si="34"/>
        <v>261.90000000000003</v>
      </c>
      <c r="N191" t="str">
        <f t="shared" si="35"/>
        <v>31201005</v>
      </c>
    </row>
    <row r="192" spans="1:14" x14ac:dyDescent="0.3">
      <c r="A192" s="54">
        <v>101</v>
      </c>
      <c r="B192" s="54" t="s">
        <v>309</v>
      </c>
      <c r="C192" s="55" t="s">
        <v>348</v>
      </c>
      <c r="F192" s="84">
        <v>58.2</v>
      </c>
      <c r="M192" s="80">
        <f t="shared" si="34"/>
        <v>58.2</v>
      </c>
      <c r="N192" t="str">
        <f t="shared" si="35"/>
        <v>31201005</v>
      </c>
    </row>
    <row r="193" spans="1:14" x14ac:dyDescent="0.3">
      <c r="A193" s="54">
        <v>101</v>
      </c>
      <c r="B193" s="54" t="s">
        <v>309</v>
      </c>
      <c r="C193" s="55" t="s">
        <v>349</v>
      </c>
      <c r="F193" s="84">
        <v>43.650000000000006</v>
      </c>
      <c r="M193" s="80">
        <f t="shared" si="34"/>
        <v>43.650000000000006</v>
      </c>
      <c r="N193" t="str">
        <f t="shared" si="35"/>
        <v>31201005</v>
      </c>
    </row>
    <row r="194" spans="1:14" x14ac:dyDescent="0.3">
      <c r="A194" s="54">
        <v>101</v>
      </c>
      <c r="B194" s="54" t="s">
        <v>309</v>
      </c>
      <c r="C194" s="55" t="s">
        <v>350</v>
      </c>
      <c r="F194" s="84">
        <v>14.55</v>
      </c>
      <c r="M194" s="80">
        <f t="shared" si="34"/>
        <v>14.55</v>
      </c>
      <c r="N194" t="str">
        <f t="shared" si="35"/>
        <v>31201005</v>
      </c>
    </row>
    <row r="195" spans="1:14" x14ac:dyDescent="0.3">
      <c r="A195" s="54">
        <v>101</v>
      </c>
      <c r="B195" s="54" t="s">
        <v>309</v>
      </c>
      <c r="C195" s="55" t="s">
        <v>353</v>
      </c>
      <c r="F195" s="84">
        <v>43.65</v>
      </c>
      <c r="M195" s="80">
        <f t="shared" si="34"/>
        <v>43.65</v>
      </c>
      <c r="N195" t="str">
        <f t="shared" si="35"/>
        <v>31201005</v>
      </c>
    </row>
    <row r="196" spans="1:14" x14ac:dyDescent="0.3">
      <c r="A196" s="54">
        <v>101</v>
      </c>
      <c r="B196" s="54" t="s">
        <v>309</v>
      </c>
      <c r="C196" s="55" t="s">
        <v>407</v>
      </c>
      <c r="F196" s="84">
        <v>14.55</v>
      </c>
      <c r="M196" s="80">
        <f t="shared" si="34"/>
        <v>14.55</v>
      </c>
      <c r="N196" t="str">
        <f t="shared" si="35"/>
        <v>31201005</v>
      </c>
    </row>
    <row r="197" spans="1:14" x14ac:dyDescent="0.3">
      <c r="A197" s="54">
        <v>101</v>
      </c>
      <c r="B197" s="54" t="s">
        <v>309</v>
      </c>
      <c r="C197" s="55" t="s">
        <v>355</v>
      </c>
      <c r="F197" s="84">
        <v>349.20000000000005</v>
      </c>
      <c r="M197" s="80">
        <f t="shared" si="34"/>
        <v>349.20000000000005</v>
      </c>
      <c r="N197" t="str">
        <f t="shared" si="35"/>
        <v>31201005</v>
      </c>
    </row>
    <row r="198" spans="1:14" x14ac:dyDescent="0.3">
      <c r="A198" s="54">
        <v>101</v>
      </c>
      <c r="B198" s="54" t="s">
        <v>309</v>
      </c>
      <c r="C198" s="55" t="s">
        <v>356</v>
      </c>
      <c r="F198" s="84">
        <v>189.15000000000003</v>
      </c>
      <c r="M198" s="80">
        <f t="shared" ref="M198:M199" si="36">F198</f>
        <v>189.15000000000003</v>
      </c>
      <c r="N198" t="str">
        <f t="shared" ref="N198:N199" si="37">IF(B198="SEGURO DE VIDA EM GRUPO","31201003","31201005")</f>
        <v>31201005</v>
      </c>
    </row>
    <row r="199" spans="1:14" x14ac:dyDescent="0.3">
      <c r="A199" s="54">
        <v>101</v>
      </c>
      <c r="B199" s="54" t="s">
        <v>309</v>
      </c>
      <c r="C199" s="55" t="s">
        <v>357</v>
      </c>
      <c r="F199" s="84">
        <v>29.1</v>
      </c>
      <c r="M199" s="80">
        <f t="shared" si="36"/>
        <v>29.1</v>
      </c>
      <c r="N199" t="str">
        <f t="shared" si="37"/>
        <v>31201005</v>
      </c>
    </row>
    <row r="200" spans="1:14" x14ac:dyDescent="0.3">
      <c r="F200" s="84"/>
      <c r="M200" s="80"/>
    </row>
    <row r="201" spans="1:14" x14ac:dyDescent="0.3">
      <c r="F201" s="84"/>
      <c r="M201" s="80"/>
    </row>
    <row r="202" spans="1:14" x14ac:dyDescent="0.3">
      <c r="F202" s="84"/>
      <c r="M202" s="80"/>
    </row>
    <row r="203" spans="1:14" x14ac:dyDescent="0.3">
      <c r="A203" s="54">
        <v>104</v>
      </c>
      <c r="B203" s="54" t="s">
        <v>309</v>
      </c>
      <c r="C203" s="55" t="s">
        <v>367</v>
      </c>
      <c r="F203" s="83">
        <v>43.65</v>
      </c>
      <c r="M203" s="80">
        <f t="shared" si="34"/>
        <v>43.65</v>
      </c>
      <c r="N203" t="str">
        <f t="shared" si="35"/>
        <v>31201005</v>
      </c>
    </row>
    <row r="204" spans="1:14" x14ac:dyDescent="0.3">
      <c r="A204" s="54">
        <v>104</v>
      </c>
      <c r="B204" s="54" t="s">
        <v>309</v>
      </c>
      <c r="C204" s="55">
        <v>22002</v>
      </c>
      <c r="F204" s="83">
        <v>68.53</v>
      </c>
      <c r="M204" s="80">
        <f t="shared" ref="M204" si="38">F204</f>
        <v>68.53</v>
      </c>
      <c r="N204" t="str">
        <f t="shared" ref="N204" si="39">IF(B204="SEGURO DE VIDA EM GRUPO","31201003","31201005")</f>
        <v>31201005</v>
      </c>
    </row>
    <row r="205" spans="1:14" x14ac:dyDescent="0.3">
      <c r="F205" s="83"/>
      <c r="M205" s="80"/>
    </row>
    <row r="206" spans="1:14" x14ac:dyDescent="0.3">
      <c r="A206" s="54">
        <v>106</v>
      </c>
      <c r="B206" s="54" t="s">
        <v>309</v>
      </c>
      <c r="C206" s="55">
        <v>32001</v>
      </c>
      <c r="F206" s="84">
        <v>160.05000000000001</v>
      </c>
      <c r="M206" s="80">
        <f t="shared" si="34"/>
        <v>160.05000000000001</v>
      </c>
      <c r="N206" t="str">
        <f t="shared" si="35"/>
        <v>31201005</v>
      </c>
    </row>
    <row r="207" spans="1:14" x14ac:dyDescent="0.3">
      <c r="A207" s="54">
        <v>106</v>
      </c>
      <c r="B207" s="54" t="s">
        <v>309</v>
      </c>
      <c r="C207" s="55">
        <v>32002</v>
      </c>
      <c r="F207" s="84">
        <v>421.95</v>
      </c>
      <c r="M207" s="80">
        <f t="shared" si="34"/>
        <v>421.95</v>
      </c>
      <c r="N207" t="str">
        <f t="shared" si="35"/>
        <v>31201005</v>
      </c>
    </row>
    <row r="208" spans="1:14" x14ac:dyDescent="0.3">
      <c r="A208" s="54">
        <v>106</v>
      </c>
      <c r="B208" s="54" t="s">
        <v>309</v>
      </c>
      <c r="C208" s="55">
        <v>32007</v>
      </c>
      <c r="F208" s="84">
        <v>334.65</v>
      </c>
      <c r="M208" s="80">
        <f t="shared" ref="M208" si="40">F208</f>
        <v>334.65</v>
      </c>
      <c r="N208" t="str">
        <f t="shared" ref="N208" si="41">IF(B208="SEGURO DE VIDA EM GRUPO","31201003","31201005")</f>
        <v>31201005</v>
      </c>
    </row>
    <row r="209" spans="1:14" x14ac:dyDescent="0.3">
      <c r="A209" s="54">
        <v>106</v>
      </c>
      <c r="B209" s="54" t="s">
        <v>309</v>
      </c>
      <c r="C209" s="55">
        <v>32003</v>
      </c>
      <c r="F209" s="73">
        <v>641.14</v>
      </c>
      <c r="M209" s="80">
        <f t="shared" si="34"/>
        <v>641.14</v>
      </c>
      <c r="N209" t="str">
        <f t="shared" si="35"/>
        <v>31201005</v>
      </c>
    </row>
    <row r="210" spans="1:14" x14ac:dyDescent="0.3">
      <c r="A210" s="54">
        <v>106</v>
      </c>
      <c r="B210" s="54" t="s">
        <v>309</v>
      </c>
      <c r="C210" s="55">
        <v>32100</v>
      </c>
      <c r="F210" s="73">
        <v>58.2</v>
      </c>
      <c r="M210" s="80">
        <f t="shared" ref="M210" si="42">F210</f>
        <v>58.2</v>
      </c>
      <c r="N210" t="str">
        <f t="shared" ref="N210" si="43">IF(B210="SEGURO DE VIDA EM GRUPO","31201003","31201005")</f>
        <v>31201005</v>
      </c>
    </row>
    <row r="211" spans="1:14" x14ac:dyDescent="0.3">
      <c r="A211" s="54">
        <v>106</v>
      </c>
      <c r="B211" s="54" t="s">
        <v>309</v>
      </c>
      <c r="C211" s="55" t="s">
        <v>335</v>
      </c>
      <c r="F211" s="84">
        <v>29.1</v>
      </c>
      <c r="M211" s="80">
        <f t="shared" si="34"/>
        <v>29.1</v>
      </c>
      <c r="N211" t="str">
        <f t="shared" si="35"/>
        <v>31201005</v>
      </c>
    </row>
    <row r="212" spans="1:14" x14ac:dyDescent="0.3">
      <c r="A212" s="54">
        <v>106</v>
      </c>
      <c r="B212" s="54" t="s">
        <v>309</v>
      </c>
      <c r="C212" s="55">
        <v>32001</v>
      </c>
      <c r="F212" s="84">
        <v>87.3</v>
      </c>
      <c r="M212" s="80">
        <f t="shared" ref="M212" si="44">F212</f>
        <v>87.3</v>
      </c>
      <c r="N212" t="str">
        <f t="shared" ref="N212" si="45">IF(B212="SEGURO DE VIDA EM GRUPO","31201003","31201005")</f>
        <v>31201005</v>
      </c>
    </row>
    <row r="213" spans="1:14" x14ac:dyDescent="0.3">
      <c r="F213" s="85"/>
      <c r="M213" s="80"/>
    </row>
    <row r="214" spans="1:14" x14ac:dyDescent="0.3">
      <c r="A214" s="54">
        <v>104</v>
      </c>
      <c r="B214" s="54" t="s">
        <v>331</v>
      </c>
      <c r="C214" s="55">
        <v>22002</v>
      </c>
      <c r="F214" s="60">
        <v>1725.98</v>
      </c>
      <c r="M214" s="80">
        <f t="shared" ref="M214:M222" si="46">F214</f>
        <v>1725.98</v>
      </c>
      <c r="N214" t="str">
        <f t="shared" ref="N214:N222" si="47">IF(B214="SEGURO DE VIDA EM GRUPO","31201003","31201005")</f>
        <v>31201005</v>
      </c>
    </row>
    <row r="215" spans="1:14" x14ac:dyDescent="0.3">
      <c r="F215" s="60"/>
      <c r="M215" s="80"/>
    </row>
    <row r="216" spans="1:14" x14ac:dyDescent="0.3">
      <c r="A216" s="54">
        <v>106</v>
      </c>
      <c r="B216" s="54" t="s">
        <v>331</v>
      </c>
      <c r="C216" s="55" t="s">
        <v>335</v>
      </c>
      <c r="F216" s="60">
        <v>627.78</v>
      </c>
      <c r="M216" s="80">
        <f t="shared" si="46"/>
        <v>627.78</v>
      </c>
      <c r="N216" t="str">
        <f t="shared" si="47"/>
        <v>31201005</v>
      </c>
    </row>
    <row r="217" spans="1:14" x14ac:dyDescent="0.3">
      <c r="A217" s="54">
        <v>106</v>
      </c>
      <c r="B217" s="54" t="s">
        <v>331</v>
      </c>
      <c r="C217" s="55" t="s">
        <v>365</v>
      </c>
      <c r="F217" s="60">
        <v>1275.6300000000001</v>
      </c>
      <c r="M217" s="80">
        <f t="shared" si="46"/>
        <v>1275.6300000000001</v>
      </c>
      <c r="N217" t="str">
        <f t="shared" si="47"/>
        <v>31201005</v>
      </c>
    </row>
    <row r="218" spans="1:14" x14ac:dyDescent="0.3">
      <c r="A218" s="54">
        <v>106</v>
      </c>
      <c r="B218" s="54" t="s">
        <v>331</v>
      </c>
      <c r="C218" s="55" t="s">
        <v>366</v>
      </c>
      <c r="F218" s="60">
        <v>7297.04</v>
      </c>
      <c r="M218" s="80">
        <f t="shared" si="46"/>
        <v>7297.04</v>
      </c>
      <c r="N218" t="str">
        <f t="shared" si="47"/>
        <v>31201005</v>
      </c>
    </row>
    <row r="219" spans="1:14" x14ac:dyDescent="0.3">
      <c r="A219" s="54">
        <v>106</v>
      </c>
      <c r="B219" s="54" t="s">
        <v>331</v>
      </c>
      <c r="C219" s="55" t="s">
        <v>367</v>
      </c>
      <c r="F219" s="60">
        <v>5276.25</v>
      </c>
      <c r="M219" s="80">
        <f t="shared" si="46"/>
        <v>5276.25</v>
      </c>
      <c r="N219" t="str">
        <f t="shared" si="47"/>
        <v>31201005</v>
      </c>
    </row>
    <row r="220" spans="1:14" x14ac:dyDescent="0.3">
      <c r="A220" s="54">
        <v>106</v>
      </c>
      <c r="B220" s="54" t="s">
        <v>331</v>
      </c>
      <c r="C220" s="55" t="s">
        <v>368</v>
      </c>
      <c r="F220" s="60">
        <v>4354.03</v>
      </c>
      <c r="M220" s="80">
        <f t="shared" si="46"/>
        <v>4354.03</v>
      </c>
      <c r="N220" t="str">
        <f t="shared" si="47"/>
        <v>31201005</v>
      </c>
    </row>
    <row r="221" spans="1:14" x14ac:dyDescent="0.3">
      <c r="A221" s="54">
        <v>106</v>
      </c>
      <c r="B221" s="54" t="s">
        <v>331</v>
      </c>
      <c r="C221" s="55" t="s">
        <v>369</v>
      </c>
      <c r="F221" s="60">
        <v>1580.65</v>
      </c>
      <c r="M221" s="80">
        <f t="shared" si="46"/>
        <v>1580.65</v>
      </c>
      <c r="N221" t="str">
        <f t="shared" si="47"/>
        <v>31201005</v>
      </c>
    </row>
    <row r="222" spans="1:14" x14ac:dyDescent="0.3">
      <c r="A222" s="54">
        <v>106</v>
      </c>
      <c r="B222" s="54" t="s">
        <v>331</v>
      </c>
      <c r="C222" s="55">
        <v>34001</v>
      </c>
      <c r="F222" s="60">
        <v>1237.33</v>
      </c>
      <c r="M222" s="80">
        <f t="shared" si="46"/>
        <v>1237.33</v>
      </c>
      <c r="N222" t="str">
        <f t="shared" si="47"/>
        <v>31201005</v>
      </c>
    </row>
  </sheetData>
  <autoFilter ref="A2:N222" xr:uid="{D126C98B-7788-4B8D-A254-FDA29D76E542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208"/>
  <sheetViews>
    <sheetView showGridLines="0" tabSelected="1" topLeftCell="L1" workbookViewId="0">
      <selection activeCell="W5" sqref="W5"/>
    </sheetView>
  </sheetViews>
  <sheetFormatPr defaultRowHeight="14.4" x14ac:dyDescent="0.3"/>
  <cols>
    <col min="1" max="1" width="8.6640625" customWidth="1"/>
    <col min="2" max="2" width="5.6640625" customWidth="1"/>
    <col min="3" max="3" width="10.6640625" customWidth="1"/>
    <col min="4" max="4" width="3.6640625" customWidth="1"/>
    <col min="5" max="5" width="16.88671875" customWidth="1"/>
    <col min="6" max="6" width="8.6640625" customWidth="1"/>
    <col min="7" max="7" width="10.6640625" bestFit="1" customWidth="1"/>
    <col min="8" max="8" width="5.6640625" customWidth="1"/>
    <col min="9" max="9" width="2.6640625" customWidth="1"/>
    <col min="10" max="10" width="8.6640625" customWidth="1"/>
    <col min="11" max="11" width="4" bestFit="1" customWidth="1"/>
    <col min="12" max="12" width="40.6640625" customWidth="1"/>
    <col min="13" max="13" width="3.6640625" customWidth="1"/>
    <col min="14" max="14" width="20.6640625" customWidth="1"/>
    <col min="15" max="15" width="107.6640625" customWidth="1"/>
    <col min="16" max="16" width="2.6640625" customWidth="1"/>
    <col min="17" max="17" width="7" bestFit="1" customWidth="1"/>
    <col min="18" max="18" width="8.6640625" customWidth="1"/>
    <col min="19" max="20" width="6" bestFit="1" customWidth="1"/>
    <col min="21" max="21" width="20.6640625" customWidth="1"/>
    <col min="22" max="22" width="5.6640625" customWidth="1"/>
  </cols>
  <sheetData>
    <row r="1" spans="1:38" s="20" customFormat="1" x14ac:dyDescent="0.3">
      <c r="A1" s="20" t="s">
        <v>16</v>
      </c>
      <c r="B1" s="21">
        <v>1</v>
      </c>
      <c r="C1" s="21">
        <v>1</v>
      </c>
      <c r="D1" s="22" t="s">
        <v>17</v>
      </c>
      <c r="E1" s="23">
        <v>546.96</v>
      </c>
      <c r="F1" s="22" t="s">
        <v>18</v>
      </c>
      <c r="G1" s="24">
        <v>46265</v>
      </c>
      <c r="H1" s="21">
        <v>1</v>
      </c>
      <c r="I1" s="22" t="s">
        <v>19</v>
      </c>
      <c r="K1" s="20">
        <v>101</v>
      </c>
      <c r="L1" s="22" t="s">
        <v>447</v>
      </c>
      <c r="M1" s="22">
        <v>1</v>
      </c>
      <c r="N1" s="22">
        <v>31550109</v>
      </c>
      <c r="O1" s="25" t="s">
        <v>448</v>
      </c>
      <c r="Q1" s="22" t="s">
        <v>20</v>
      </c>
      <c r="R1" s="22" t="s">
        <v>18</v>
      </c>
      <c r="S1" s="20">
        <v>13021</v>
      </c>
      <c r="T1" s="21">
        <v>19000</v>
      </c>
      <c r="U1" s="22" t="s">
        <v>656</v>
      </c>
      <c r="V1" s="21">
        <v>2</v>
      </c>
      <c r="W1" s="22">
        <f>'PLANO DE SAÚDE'!C4</f>
        <v>13021</v>
      </c>
      <c r="AL1" s="25"/>
    </row>
    <row r="2" spans="1:38" s="20" customFormat="1" x14ac:dyDescent="0.3">
      <c r="A2" s="20" t="s">
        <v>16</v>
      </c>
      <c r="B2" s="21">
        <f>B1+2</f>
        <v>3</v>
      </c>
      <c r="C2" s="21">
        <v>1</v>
      </c>
      <c r="D2" s="22" t="s">
        <v>17</v>
      </c>
      <c r="E2" s="23">
        <v>2161.2600000000002</v>
      </c>
      <c r="F2" s="22" t="s">
        <v>18</v>
      </c>
      <c r="G2" s="24">
        <v>46265</v>
      </c>
      <c r="H2" s="21">
        <v>1</v>
      </c>
      <c r="I2" s="22" t="s">
        <v>19</v>
      </c>
      <c r="K2" s="20">
        <v>101</v>
      </c>
      <c r="L2" s="22" t="s">
        <v>447</v>
      </c>
      <c r="M2" s="22">
        <v>1</v>
      </c>
      <c r="N2" s="22">
        <v>31550109</v>
      </c>
      <c r="O2" s="25" t="s">
        <v>449</v>
      </c>
      <c r="Q2" s="22" t="s">
        <v>20</v>
      </c>
      <c r="R2" s="22" t="s">
        <v>18</v>
      </c>
      <c r="S2" s="20">
        <v>14051</v>
      </c>
      <c r="T2" s="21">
        <v>19000</v>
      </c>
      <c r="U2" s="22" t="s">
        <v>656</v>
      </c>
      <c r="V2" s="21">
        <f>V1+2</f>
        <v>4</v>
      </c>
      <c r="W2" s="22">
        <f>'PLANO DE SAÚDE'!C5</f>
        <v>14051</v>
      </c>
    </row>
    <row r="3" spans="1:38" s="20" customFormat="1" x14ac:dyDescent="0.3">
      <c r="A3" s="20" t="s">
        <v>16</v>
      </c>
      <c r="B3" s="21">
        <f t="shared" ref="B3:B66" si="0">B2+2</f>
        <v>5</v>
      </c>
      <c r="C3" s="21">
        <v>1</v>
      </c>
      <c r="D3" s="22" t="s">
        <v>17</v>
      </c>
      <c r="E3" s="23">
        <v>2014.32</v>
      </c>
      <c r="F3" s="22" t="s">
        <v>18</v>
      </c>
      <c r="G3" s="24">
        <v>46265</v>
      </c>
      <c r="H3" s="21">
        <v>1</v>
      </c>
      <c r="I3" s="22" t="s">
        <v>19</v>
      </c>
      <c r="K3" s="20">
        <v>101</v>
      </c>
      <c r="L3" s="22" t="s">
        <v>447</v>
      </c>
      <c r="M3" s="22">
        <v>1</v>
      </c>
      <c r="N3" s="22">
        <v>31550109</v>
      </c>
      <c r="O3" s="25" t="s">
        <v>450</v>
      </c>
      <c r="Q3" s="22" t="s">
        <v>20</v>
      </c>
      <c r="R3" s="22" t="s">
        <v>18</v>
      </c>
      <c r="S3" s="20">
        <v>14058</v>
      </c>
      <c r="T3" s="21">
        <v>19000</v>
      </c>
      <c r="U3" s="22" t="s">
        <v>656</v>
      </c>
      <c r="V3" s="21">
        <f t="shared" ref="V3:V66" si="1">V2+2</f>
        <v>6</v>
      </c>
      <c r="W3" s="22">
        <f>'PLANO DE SAÚDE'!C6</f>
        <v>14058</v>
      </c>
    </row>
    <row r="4" spans="1:38" s="20" customFormat="1" x14ac:dyDescent="0.3">
      <c r="A4" s="20" t="s">
        <v>16</v>
      </c>
      <c r="B4" s="21">
        <f t="shared" si="0"/>
        <v>7</v>
      </c>
      <c r="C4" s="21">
        <v>1</v>
      </c>
      <c r="D4" s="22" t="s">
        <v>17</v>
      </c>
      <c r="E4" s="23">
        <v>546.96</v>
      </c>
      <c r="F4" s="22" t="s">
        <v>18</v>
      </c>
      <c r="G4" s="24">
        <v>46265</v>
      </c>
      <c r="H4" s="21">
        <v>1</v>
      </c>
      <c r="I4" s="22" t="s">
        <v>19</v>
      </c>
      <c r="K4" s="20">
        <v>101</v>
      </c>
      <c r="L4" s="22" t="s">
        <v>447</v>
      </c>
      <c r="M4" s="22">
        <v>1</v>
      </c>
      <c r="N4" s="22">
        <v>31550109</v>
      </c>
      <c r="O4" s="25" t="s">
        <v>451</v>
      </c>
      <c r="Q4" s="22" t="s">
        <v>20</v>
      </c>
      <c r="R4" s="22" t="s">
        <v>18</v>
      </c>
      <c r="S4" s="20">
        <v>31060</v>
      </c>
      <c r="T4" s="21">
        <v>19000</v>
      </c>
      <c r="U4" s="22" t="s">
        <v>656</v>
      </c>
      <c r="V4" s="21">
        <f t="shared" si="1"/>
        <v>8</v>
      </c>
      <c r="W4" s="22">
        <f>'PLANO DE SAÚDE'!C7</f>
        <v>31060</v>
      </c>
    </row>
    <row r="5" spans="1:38" s="20" customFormat="1" x14ac:dyDescent="0.3">
      <c r="A5" s="20" t="s">
        <v>16</v>
      </c>
      <c r="B5" s="21">
        <f t="shared" si="0"/>
        <v>9</v>
      </c>
      <c r="C5" s="21">
        <v>1</v>
      </c>
      <c r="D5" s="22" t="s">
        <v>17</v>
      </c>
      <c r="E5" s="23">
        <v>546.96</v>
      </c>
      <c r="F5" s="22" t="s">
        <v>18</v>
      </c>
      <c r="G5" s="24">
        <v>46265</v>
      </c>
      <c r="H5" s="21">
        <v>1</v>
      </c>
      <c r="I5" s="22" t="s">
        <v>19</v>
      </c>
      <c r="K5" s="20">
        <v>101</v>
      </c>
      <c r="L5" s="22" t="s">
        <v>447</v>
      </c>
      <c r="M5" s="22">
        <v>1</v>
      </c>
      <c r="N5" s="22">
        <v>31550109</v>
      </c>
      <c r="O5" s="25" t="s">
        <v>452</v>
      </c>
      <c r="Q5" s="22" t="s">
        <v>20</v>
      </c>
      <c r="R5" s="22" t="s">
        <v>18</v>
      </c>
      <c r="S5" s="20">
        <v>31070</v>
      </c>
      <c r="T5" s="21">
        <v>19000</v>
      </c>
      <c r="U5" s="22" t="s">
        <v>656</v>
      </c>
      <c r="V5" s="21">
        <f t="shared" si="1"/>
        <v>10</v>
      </c>
      <c r="W5" s="22">
        <f>'PLANO DE SAÚDE'!C8</f>
        <v>31070</v>
      </c>
    </row>
    <row r="6" spans="1:38" s="20" customFormat="1" x14ac:dyDescent="0.3">
      <c r="A6" s="20" t="s">
        <v>16</v>
      </c>
      <c r="B6" s="21">
        <f t="shared" si="0"/>
        <v>11</v>
      </c>
      <c r="C6" s="21">
        <v>1</v>
      </c>
      <c r="D6" s="22" t="s">
        <v>17</v>
      </c>
      <c r="E6" s="23">
        <v>2417.1400000000003</v>
      </c>
      <c r="F6" s="22" t="s">
        <v>18</v>
      </c>
      <c r="G6" s="24">
        <v>46265</v>
      </c>
      <c r="H6" s="21">
        <v>1</v>
      </c>
      <c r="I6" s="22" t="s">
        <v>19</v>
      </c>
      <c r="K6" s="20">
        <v>101</v>
      </c>
      <c r="L6" s="22" t="s">
        <v>447</v>
      </c>
      <c r="M6" s="22">
        <v>1</v>
      </c>
      <c r="N6" s="22">
        <v>31550109</v>
      </c>
      <c r="O6" s="25" t="s">
        <v>453</v>
      </c>
      <c r="Q6" s="22" t="s">
        <v>20</v>
      </c>
      <c r="R6" s="22" t="s">
        <v>18</v>
      </c>
      <c r="S6" s="20">
        <v>31114</v>
      </c>
      <c r="T6" s="21">
        <v>19000</v>
      </c>
      <c r="U6" s="22" t="s">
        <v>656</v>
      </c>
      <c r="V6" s="21">
        <f t="shared" si="1"/>
        <v>12</v>
      </c>
      <c r="W6" s="22">
        <f>'PLANO DE SAÚDE'!C9</f>
        <v>31114</v>
      </c>
    </row>
    <row r="7" spans="1:38" s="20" customFormat="1" x14ac:dyDescent="0.3">
      <c r="A7" s="20" t="s">
        <v>16</v>
      </c>
      <c r="B7" s="21">
        <f t="shared" si="0"/>
        <v>13</v>
      </c>
      <c r="C7" s="21">
        <v>1</v>
      </c>
      <c r="D7" s="22" t="s">
        <v>17</v>
      </c>
      <c r="E7" s="23">
        <v>1093.92</v>
      </c>
      <c r="F7" s="22" t="s">
        <v>18</v>
      </c>
      <c r="G7" s="24">
        <v>46265</v>
      </c>
      <c r="H7" s="21">
        <v>1</v>
      </c>
      <c r="I7" s="22" t="s">
        <v>19</v>
      </c>
      <c r="K7" s="20">
        <v>101</v>
      </c>
      <c r="L7" s="22" t="s">
        <v>447</v>
      </c>
      <c r="M7" s="22">
        <v>1</v>
      </c>
      <c r="N7" s="22">
        <v>31550109</v>
      </c>
      <c r="O7" s="25" t="s">
        <v>454</v>
      </c>
      <c r="Q7" s="22" t="s">
        <v>20</v>
      </c>
      <c r="R7" s="22" t="s">
        <v>18</v>
      </c>
      <c r="S7" s="20" t="s">
        <v>332</v>
      </c>
      <c r="T7" s="21">
        <v>19000</v>
      </c>
      <c r="U7" s="22" t="s">
        <v>656</v>
      </c>
      <c r="V7" s="21">
        <f t="shared" si="1"/>
        <v>14</v>
      </c>
      <c r="W7" s="22" t="str">
        <f>'PLANO DE SAÚDE'!C10</f>
        <v>11012</v>
      </c>
    </row>
    <row r="8" spans="1:38" s="20" customFormat="1" x14ac:dyDescent="0.3">
      <c r="A8" s="20" t="s">
        <v>16</v>
      </c>
      <c r="B8" s="21">
        <f t="shared" si="0"/>
        <v>15</v>
      </c>
      <c r="C8" s="21">
        <v>1</v>
      </c>
      <c r="D8" s="22" t="s">
        <v>17</v>
      </c>
      <c r="E8" s="23">
        <v>1323.22</v>
      </c>
      <c r="F8" s="22" t="s">
        <v>18</v>
      </c>
      <c r="G8" s="24">
        <v>46265</v>
      </c>
      <c r="H8" s="21">
        <v>1</v>
      </c>
      <c r="I8" s="22" t="s">
        <v>19</v>
      </c>
      <c r="K8" s="20">
        <v>101</v>
      </c>
      <c r="L8" s="22" t="s">
        <v>447</v>
      </c>
      <c r="M8" s="22">
        <v>1</v>
      </c>
      <c r="N8" s="22">
        <v>31550109</v>
      </c>
      <c r="O8" s="25" t="s">
        <v>455</v>
      </c>
      <c r="Q8" s="22" t="s">
        <v>20</v>
      </c>
      <c r="R8" s="22" t="s">
        <v>18</v>
      </c>
      <c r="S8" s="20" t="s">
        <v>333</v>
      </c>
      <c r="T8" s="21">
        <v>19000</v>
      </c>
      <c r="U8" s="22" t="s">
        <v>656</v>
      </c>
      <c r="V8" s="21">
        <f t="shared" si="1"/>
        <v>16</v>
      </c>
      <c r="W8" s="22" t="str">
        <f>'PLANO DE SAÚDE'!C11</f>
        <v>13011</v>
      </c>
    </row>
    <row r="9" spans="1:38" s="20" customFormat="1" x14ac:dyDescent="0.3">
      <c r="A9" s="20" t="s">
        <v>16</v>
      </c>
      <c r="B9" s="21">
        <f t="shared" si="0"/>
        <v>17</v>
      </c>
      <c r="C9" s="21">
        <v>1</v>
      </c>
      <c r="D9" s="22" t="s">
        <v>17</v>
      </c>
      <c r="E9" s="23">
        <v>1005.56</v>
      </c>
      <c r="F9" s="22" t="s">
        <v>18</v>
      </c>
      <c r="G9" s="24">
        <v>46265</v>
      </c>
      <c r="H9" s="21">
        <v>1</v>
      </c>
      <c r="I9" s="22" t="s">
        <v>19</v>
      </c>
      <c r="K9" s="20">
        <v>101</v>
      </c>
      <c r="L9" s="22" t="s">
        <v>447</v>
      </c>
      <c r="M9" s="22">
        <v>1</v>
      </c>
      <c r="N9" s="22">
        <v>31550109</v>
      </c>
      <c r="O9" s="25" t="s">
        <v>456</v>
      </c>
      <c r="Q9" s="22" t="s">
        <v>20</v>
      </c>
      <c r="R9" s="22" t="s">
        <v>18</v>
      </c>
      <c r="S9" s="20" t="s">
        <v>334</v>
      </c>
      <c r="T9" s="21">
        <v>19000</v>
      </c>
      <c r="U9" s="22" t="s">
        <v>656</v>
      </c>
      <c r="V9" s="21">
        <f t="shared" si="1"/>
        <v>18</v>
      </c>
      <c r="W9" s="22" t="str">
        <f>'PLANO DE SAÚDE'!C12</f>
        <v>13012</v>
      </c>
    </row>
    <row r="10" spans="1:38" s="20" customFormat="1" x14ac:dyDescent="0.3">
      <c r="A10" s="20" t="s">
        <v>16</v>
      </c>
      <c r="B10" s="21">
        <f t="shared" si="0"/>
        <v>19</v>
      </c>
      <c r="C10" s="21">
        <v>1</v>
      </c>
      <c r="D10" s="22" t="s">
        <v>17</v>
      </c>
      <c r="E10" s="23">
        <v>8067.4400000000005</v>
      </c>
      <c r="F10" s="22" t="s">
        <v>18</v>
      </c>
      <c r="G10" s="24">
        <v>46265</v>
      </c>
      <c r="H10" s="21">
        <v>1</v>
      </c>
      <c r="I10" s="22" t="s">
        <v>19</v>
      </c>
      <c r="K10" s="20">
        <v>101</v>
      </c>
      <c r="L10" s="22" t="s">
        <v>447</v>
      </c>
      <c r="M10" s="22">
        <v>1</v>
      </c>
      <c r="N10" s="22">
        <v>31550109</v>
      </c>
      <c r="O10" s="25" t="s">
        <v>457</v>
      </c>
      <c r="Q10" s="22" t="s">
        <v>20</v>
      </c>
      <c r="R10" s="22" t="s">
        <v>18</v>
      </c>
      <c r="S10" s="20" t="s">
        <v>335</v>
      </c>
      <c r="T10" s="21">
        <v>19000</v>
      </c>
      <c r="U10" s="22" t="s">
        <v>656</v>
      </c>
      <c r="V10" s="21">
        <f t="shared" si="1"/>
        <v>20</v>
      </c>
      <c r="W10" s="22" t="str">
        <f>'PLANO DE SAÚDE'!C13</f>
        <v>13013</v>
      </c>
    </row>
    <row r="11" spans="1:38" s="20" customFormat="1" x14ac:dyDescent="0.3">
      <c r="A11" s="20" t="s">
        <v>16</v>
      </c>
      <c r="B11" s="21">
        <f t="shared" si="0"/>
        <v>21</v>
      </c>
      <c r="C11" s="21">
        <v>1</v>
      </c>
      <c r="D11" s="22" t="s">
        <v>17</v>
      </c>
      <c r="E11" s="23">
        <v>2187.84</v>
      </c>
      <c r="F11" s="22" t="s">
        <v>18</v>
      </c>
      <c r="G11" s="24">
        <v>46265</v>
      </c>
      <c r="H11" s="21">
        <v>1</v>
      </c>
      <c r="I11" s="22" t="s">
        <v>19</v>
      </c>
      <c r="K11" s="20">
        <v>101</v>
      </c>
      <c r="L11" s="22" t="s">
        <v>447</v>
      </c>
      <c r="M11" s="22">
        <v>1</v>
      </c>
      <c r="N11" s="22">
        <v>31550109</v>
      </c>
      <c r="O11" s="25" t="s">
        <v>458</v>
      </c>
      <c r="Q11" s="22" t="s">
        <v>20</v>
      </c>
      <c r="R11" s="22" t="s">
        <v>18</v>
      </c>
      <c r="S11" s="20" t="s">
        <v>336</v>
      </c>
      <c r="T11" s="21">
        <v>19000</v>
      </c>
      <c r="U11" s="22" t="s">
        <v>656</v>
      </c>
      <c r="V11" s="21">
        <f t="shared" si="1"/>
        <v>22</v>
      </c>
      <c r="W11" s="22" t="str">
        <f>'PLANO DE SAÚDE'!C14</f>
        <v>13014</v>
      </c>
    </row>
    <row r="12" spans="1:38" s="20" customFormat="1" x14ac:dyDescent="0.3">
      <c r="A12" s="20" t="s">
        <v>16</v>
      </c>
      <c r="B12" s="21">
        <f t="shared" si="0"/>
        <v>23</v>
      </c>
      <c r="C12" s="21">
        <v>1</v>
      </c>
      <c r="D12" s="22" t="s">
        <v>17</v>
      </c>
      <c r="E12" s="23">
        <v>1464.16</v>
      </c>
      <c r="F12" s="22" t="s">
        <v>18</v>
      </c>
      <c r="G12" s="24">
        <v>46265</v>
      </c>
      <c r="H12" s="21">
        <v>1</v>
      </c>
      <c r="I12" s="22" t="s">
        <v>19</v>
      </c>
      <c r="K12" s="20">
        <v>101</v>
      </c>
      <c r="L12" s="22" t="s">
        <v>447</v>
      </c>
      <c r="M12" s="22">
        <v>1</v>
      </c>
      <c r="N12" s="22">
        <v>31550109</v>
      </c>
      <c r="O12" s="25" t="s">
        <v>459</v>
      </c>
      <c r="Q12" s="22" t="s">
        <v>20</v>
      </c>
      <c r="R12" s="22" t="s">
        <v>18</v>
      </c>
      <c r="S12" s="20" t="s">
        <v>337</v>
      </c>
      <c r="T12" s="21">
        <v>19000</v>
      </c>
      <c r="U12" s="22" t="s">
        <v>656</v>
      </c>
      <c r="V12" s="21">
        <f t="shared" si="1"/>
        <v>24</v>
      </c>
      <c r="W12" s="22" t="str">
        <f>'PLANO DE SAÚDE'!C15</f>
        <v>13016</v>
      </c>
    </row>
    <row r="13" spans="1:38" s="20" customFormat="1" x14ac:dyDescent="0.3">
      <c r="A13" s="20" t="s">
        <v>16</v>
      </c>
      <c r="B13" s="21">
        <f t="shared" si="0"/>
        <v>25</v>
      </c>
      <c r="C13" s="21">
        <v>1</v>
      </c>
      <c r="D13" s="22" t="s">
        <v>17</v>
      </c>
      <c r="E13" s="23">
        <v>1640.88</v>
      </c>
      <c r="F13" s="22" t="s">
        <v>18</v>
      </c>
      <c r="G13" s="24">
        <v>46265</v>
      </c>
      <c r="H13" s="21">
        <v>1</v>
      </c>
      <c r="I13" s="22" t="s">
        <v>19</v>
      </c>
      <c r="K13" s="20">
        <v>101</v>
      </c>
      <c r="L13" s="22" t="s">
        <v>447</v>
      </c>
      <c r="M13" s="22">
        <v>1</v>
      </c>
      <c r="N13" s="22">
        <v>31550109</v>
      </c>
      <c r="O13" s="25" t="s">
        <v>460</v>
      </c>
      <c r="Q13" s="22" t="s">
        <v>20</v>
      </c>
      <c r="R13" s="22" t="s">
        <v>18</v>
      </c>
      <c r="S13" s="20" t="s">
        <v>400</v>
      </c>
      <c r="T13" s="21">
        <v>19000</v>
      </c>
      <c r="U13" s="22" t="s">
        <v>656</v>
      </c>
      <c r="V13" s="21">
        <f t="shared" si="1"/>
        <v>26</v>
      </c>
      <c r="W13" s="22" t="str">
        <f>'PLANO DE SAÚDE'!C16</f>
        <v>13017</v>
      </c>
    </row>
    <row r="14" spans="1:38" s="20" customFormat="1" x14ac:dyDescent="0.3">
      <c r="A14" s="20" t="s">
        <v>16</v>
      </c>
      <c r="B14" s="21">
        <f t="shared" si="0"/>
        <v>27</v>
      </c>
      <c r="C14" s="21">
        <v>1</v>
      </c>
      <c r="D14" s="22" t="s">
        <v>17</v>
      </c>
      <c r="E14" s="23">
        <v>1005.5600000000001</v>
      </c>
      <c r="F14" s="22" t="s">
        <v>18</v>
      </c>
      <c r="G14" s="24">
        <v>46265</v>
      </c>
      <c r="H14" s="21">
        <v>1</v>
      </c>
      <c r="I14" s="22" t="s">
        <v>19</v>
      </c>
      <c r="K14" s="20">
        <v>101</v>
      </c>
      <c r="L14" s="22" t="s">
        <v>447</v>
      </c>
      <c r="M14" s="22">
        <v>1</v>
      </c>
      <c r="N14" s="22">
        <v>31550109</v>
      </c>
      <c r="O14" s="25" t="s">
        <v>461</v>
      </c>
      <c r="Q14" s="22" t="s">
        <v>20</v>
      </c>
      <c r="R14" s="22" t="s">
        <v>18</v>
      </c>
      <c r="S14" s="20" t="s">
        <v>338</v>
      </c>
      <c r="T14" s="21">
        <v>19000</v>
      </c>
      <c r="U14" s="22" t="s">
        <v>656</v>
      </c>
      <c r="V14" s="21">
        <f t="shared" si="1"/>
        <v>28</v>
      </c>
      <c r="W14" s="22" t="str">
        <f>'PLANO DE SAÚDE'!C17</f>
        <v>13018</v>
      </c>
    </row>
    <row r="15" spans="1:38" s="20" customFormat="1" x14ac:dyDescent="0.3">
      <c r="A15" s="20" t="s">
        <v>16</v>
      </c>
      <c r="B15" s="21">
        <f t="shared" si="0"/>
        <v>29</v>
      </c>
      <c r="C15" s="21">
        <v>1</v>
      </c>
      <c r="D15" s="22" t="s">
        <v>17</v>
      </c>
      <c r="E15" s="23">
        <v>776.26</v>
      </c>
      <c r="F15" s="22" t="s">
        <v>18</v>
      </c>
      <c r="G15" s="24">
        <v>46265</v>
      </c>
      <c r="H15" s="21">
        <v>1</v>
      </c>
      <c r="I15" s="22" t="s">
        <v>19</v>
      </c>
      <c r="K15" s="20">
        <v>101</v>
      </c>
      <c r="L15" s="22" t="s">
        <v>447</v>
      </c>
      <c r="M15" s="22">
        <v>1</v>
      </c>
      <c r="N15" s="22">
        <v>31550109</v>
      </c>
      <c r="O15" s="25" t="s">
        <v>462</v>
      </c>
      <c r="Q15" s="22" t="s">
        <v>20</v>
      </c>
      <c r="R15" s="22" t="s">
        <v>18</v>
      </c>
      <c r="S15" s="20" t="s">
        <v>401</v>
      </c>
      <c r="T15" s="21">
        <v>19000</v>
      </c>
      <c r="U15" s="22" t="s">
        <v>656</v>
      </c>
      <c r="V15" s="21">
        <f t="shared" si="1"/>
        <v>30</v>
      </c>
      <c r="W15" s="22" t="str">
        <f>'PLANO DE SAÚDE'!C18</f>
        <v>13019</v>
      </c>
    </row>
    <row r="16" spans="1:38" s="20" customFormat="1" x14ac:dyDescent="0.3">
      <c r="A16" s="20" t="s">
        <v>16</v>
      </c>
      <c r="B16" s="21">
        <f t="shared" si="0"/>
        <v>31</v>
      </c>
      <c r="C16" s="21">
        <v>1</v>
      </c>
      <c r="D16" s="22" t="s">
        <v>17</v>
      </c>
      <c r="E16" s="23">
        <v>2646.4400000000005</v>
      </c>
      <c r="F16" s="22" t="s">
        <v>18</v>
      </c>
      <c r="G16" s="24">
        <v>46265</v>
      </c>
      <c r="H16" s="21">
        <v>1</v>
      </c>
      <c r="I16" s="22" t="s">
        <v>19</v>
      </c>
      <c r="K16" s="20">
        <v>101</v>
      </c>
      <c r="L16" s="22" t="s">
        <v>447</v>
      </c>
      <c r="M16" s="22">
        <v>1</v>
      </c>
      <c r="N16" s="22">
        <v>31550109</v>
      </c>
      <c r="O16" s="25" t="s">
        <v>463</v>
      </c>
      <c r="Q16" s="22" t="s">
        <v>20</v>
      </c>
      <c r="R16" s="22" t="s">
        <v>18</v>
      </c>
      <c r="S16" s="20" t="s">
        <v>402</v>
      </c>
      <c r="T16" s="21">
        <v>19000</v>
      </c>
      <c r="U16" s="22" t="s">
        <v>656</v>
      </c>
      <c r="V16" s="21">
        <f t="shared" si="1"/>
        <v>32</v>
      </c>
      <c r="W16" s="22" t="str">
        <f>'PLANO DE SAÚDE'!C19</f>
        <v>13021</v>
      </c>
    </row>
    <row r="17" spans="1:23" s="20" customFormat="1" x14ac:dyDescent="0.3">
      <c r="A17" s="20" t="s">
        <v>16</v>
      </c>
      <c r="B17" s="21">
        <f t="shared" si="0"/>
        <v>33</v>
      </c>
      <c r="C17" s="21">
        <v>1</v>
      </c>
      <c r="D17" s="22" t="s">
        <v>17</v>
      </c>
      <c r="E17" s="23">
        <v>1870.18</v>
      </c>
      <c r="F17" s="22" t="s">
        <v>18</v>
      </c>
      <c r="G17" s="24">
        <v>46265</v>
      </c>
      <c r="H17" s="21">
        <v>1</v>
      </c>
      <c r="I17" s="22" t="s">
        <v>19</v>
      </c>
      <c r="K17" s="20">
        <v>101</v>
      </c>
      <c r="L17" s="22" t="s">
        <v>447</v>
      </c>
      <c r="M17" s="22">
        <v>1</v>
      </c>
      <c r="N17" s="22">
        <v>31550109</v>
      </c>
      <c r="O17" s="25" t="s">
        <v>464</v>
      </c>
      <c r="Q17" s="22" t="s">
        <v>20</v>
      </c>
      <c r="R17" s="22" t="s">
        <v>18</v>
      </c>
      <c r="S17" s="20" t="s">
        <v>339</v>
      </c>
      <c r="T17" s="21">
        <v>19000</v>
      </c>
      <c r="U17" s="22" t="s">
        <v>656</v>
      </c>
      <c r="V17" s="21">
        <f t="shared" si="1"/>
        <v>34</v>
      </c>
      <c r="W17" s="22" t="str">
        <f>'PLANO DE SAÚDE'!C20</f>
        <v>14012</v>
      </c>
    </row>
    <row r="18" spans="1:23" s="20" customFormat="1" x14ac:dyDescent="0.3">
      <c r="A18" s="20" t="s">
        <v>16</v>
      </c>
      <c r="B18" s="21">
        <f t="shared" si="0"/>
        <v>35</v>
      </c>
      <c r="C18" s="21">
        <v>1</v>
      </c>
      <c r="D18" s="22" t="s">
        <v>17</v>
      </c>
      <c r="E18" s="23">
        <v>2707.02</v>
      </c>
      <c r="F18" s="22" t="s">
        <v>18</v>
      </c>
      <c r="G18" s="24">
        <v>46265</v>
      </c>
      <c r="H18" s="21">
        <v>1</v>
      </c>
      <c r="I18" s="22" t="s">
        <v>19</v>
      </c>
      <c r="K18" s="20">
        <v>101</v>
      </c>
      <c r="L18" s="22" t="s">
        <v>447</v>
      </c>
      <c r="M18" s="22">
        <v>1</v>
      </c>
      <c r="N18" s="22">
        <v>31550109</v>
      </c>
      <c r="O18" s="25" t="s">
        <v>465</v>
      </c>
      <c r="Q18" s="22" t="s">
        <v>20</v>
      </c>
      <c r="R18" s="22" t="s">
        <v>18</v>
      </c>
      <c r="S18" s="20" t="s">
        <v>340</v>
      </c>
      <c r="T18" s="21">
        <v>19000</v>
      </c>
      <c r="U18" s="22" t="s">
        <v>656</v>
      </c>
      <c r="V18" s="21">
        <f t="shared" si="1"/>
        <v>36</v>
      </c>
      <c r="W18" s="22" t="str">
        <f>'PLANO DE SAÚDE'!C21</f>
        <v>14051</v>
      </c>
    </row>
    <row r="19" spans="1:23" s="20" customFormat="1" x14ac:dyDescent="0.3">
      <c r="A19" s="20" t="s">
        <v>16</v>
      </c>
      <c r="B19" s="21">
        <f t="shared" si="0"/>
        <v>37</v>
      </c>
      <c r="C19" s="21">
        <v>1</v>
      </c>
      <c r="D19" s="22" t="s">
        <v>17</v>
      </c>
      <c r="E19" s="23">
        <v>229.3</v>
      </c>
      <c r="F19" s="22" t="s">
        <v>18</v>
      </c>
      <c r="G19" s="24">
        <v>46265</v>
      </c>
      <c r="H19" s="21">
        <v>1</v>
      </c>
      <c r="I19" s="22" t="s">
        <v>19</v>
      </c>
      <c r="K19" s="20">
        <v>101</v>
      </c>
      <c r="L19" s="22" t="s">
        <v>447</v>
      </c>
      <c r="M19" s="22">
        <v>1</v>
      </c>
      <c r="N19" s="22">
        <v>31550109</v>
      </c>
      <c r="O19" s="25" t="s">
        <v>466</v>
      </c>
      <c r="Q19" s="22" t="s">
        <v>20</v>
      </c>
      <c r="R19" s="22" t="s">
        <v>18</v>
      </c>
      <c r="S19" s="20" t="s">
        <v>403</v>
      </c>
      <c r="T19" s="21">
        <v>19000</v>
      </c>
      <c r="U19" s="22" t="s">
        <v>656</v>
      </c>
      <c r="V19" s="21">
        <f t="shared" si="1"/>
        <v>38</v>
      </c>
      <c r="W19" s="22" t="str">
        <f>'PLANO DE SAÚDE'!C22</f>
        <v>15051</v>
      </c>
    </row>
    <row r="20" spans="1:23" s="20" customFormat="1" x14ac:dyDescent="0.3">
      <c r="A20" s="20" t="s">
        <v>16</v>
      </c>
      <c r="B20" s="21">
        <f t="shared" si="0"/>
        <v>39</v>
      </c>
      <c r="C20" s="21">
        <v>1</v>
      </c>
      <c r="D20" s="22" t="s">
        <v>17</v>
      </c>
      <c r="E20" s="23">
        <v>458.6</v>
      </c>
      <c r="F20" s="22" t="s">
        <v>18</v>
      </c>
      <c r="G20" s="24">
        <v>46265</v>
      </c>
      <c r="H20" s="21">
        <v>1</v>
      </c>
      <c r="I20" s="22" t="s">
        <v>19</v>
      </c>
      <c r="K20" s="20">
        <v>101</v>
      </c>
      <c r="L20" s="22" t="s">
        <v>447</v>
      </c>
      <c r="M20" s="22">
        <v>1</v>
      </c>
      <c r="N20" s="22">
        <v>31550109</v>
      </c>
      <c r="O20" s="25" t="s">
        <v>467</v>
      </c>
      <c r="Q20" s="22" t="s">
        <v>20</v>
      </c>
      <c r="R20" s="22" t="s">
        <v>18</v>
      </c>
      <c r="S20" s="20" t="s">
        <v>344</v>
      </c>
      <c r="T20" s="21">
        <v>19000</v>
      </c>
      <c r="U20" s="22" t="s">
        <v>656</v>
      </c>
      <c r="V20" s="21">
        <f t="shared" si="1"/>
        <v>40</v>
      </c>
      <c r="W20" s="22" t="str">
        <f>'PLANO DE SAÚDE'!C23</f>
        <v>21011</v>
      </c>
    </row>
    <row r="21" spans="1:23" s="20" customFormat="1" x14ac:dyDescent="0.3">
      <c r="A21" s="20" t="s">
        <v>16</v>
      </c>
      <c r="B21" s="21">
        <f t="shared" si="0"/>
        <v>41</v>
      </c>
      <c r="C21" s="21">
        <v>1</v>
      </c>
      <c r="D21" s="22" t="s">
        <v>17</v>
      </c>
      <c r="E21" s="23">
        <v>3652</v>
      </c>
      <c r="F21" s="22" t="s">
        <v>18</v>
      </c>
      <c r="G21" s="24">
        <v>46265</v>
      </c>
      <c r="H21" s="21">
        <v>1</v>
      </c>
      <c r="I21" s="22" t="s">
        <v>19</v>
      </c>
      <c r="K21" s="20">
        <v>101</v>
      </c>
      <c r="L21" s="22" t="s">
        <v>447</v>
      </c>
      <c r="M21" s="22">
        <v>1</v>
      </c>
      <c r="N21" s="22">
        <v>31550109</v>
      </c>
      <c r="O21" s="25" t="s">
        <v>468</v>
      </c>
      <c r="Q21" s="22" t="s">
        <v>20</v>
      </c>
      <c r="R21" s="22" t="s">
        <v>18</v>
      </c>
      <c r="S21" s="20" t="s">
        <v>345</v>
      </c>
      <c r="T21" s="21">
        <v>19000</v>
      </c>
      <c r="U21" s="22" t="s">
        <v>656</v>
      </c>
      <c r="V21" s="21">
        <f t="shared" si="1"/>
        <v>42</v>
      </c>
      <c r="W21" s="22" t="str">
        <f>'PLANO DE SAÚDE'!C24</f>
        <v>21012</v>
      </c>
    </row>
    <row r="22" spans="1:23" s="20" customFormat="1" x14ac:dyDescent="0.3">
      <c r="A22" s="20" t="s">
        <v>16</v>
      </c>
      <c r="B22" s="21">
        <f t="shared" si="0"/>
        <v>43</v>
      </c>
      <c r="C22" s="21">
        <v>1</v>
      </c>
      <c r="D22" s="22" t="s">
        <v>17</v>
      </c>
      <c r="E22" s="23">
        <v>1093.92</v>
      </c>
      <c r="F22" s="22" t="s">
        <v>18</v>
      </c>
      <c r="G22" s="24">
        <v>46265</v>
      </c>
      <c r="H22" s="21">
        <v>1</v>
      </c>
      <c r="I22" s="22" t="s">
        <v>19</v>
      </c>
      <c r="K22" s="20">
        <v>101</v>
      </c>
      <c r="L22" s="22" t="s">
        <v>447</v>
      </c>
      <c r="M22" s="22">
        <v>1</v>
      </c>
      <c r="N22" s="22">
        <v>31550109</v>
      </c>
      <c r="O22" s="25" t="s">
        <v>469</v>
      </c>
      <c r="Q22" s="22" t="s">
        <v>20</v>
      </c>
      <c r="R22" s="22" t="s">
        <v>18</v>
      </c>
      <c r="S22" s="20" t="s">
        <v>404</v>
      </c>
      <c r="T22" s="21">
        <v>19000</v>
      </c>
      <c r="U22" s="22" t="s">
        <v>656</v>
      </c>
      <c r="V22" s="21">
        <f t="shared" si="1"/>
        <v>44</v>
      </c>
      <c r="W22" s="22" t="str">
        <f>'PLANO DE SAÚDE'!C25</f>
        <v>21013</v>
      </c>
    </row>
    <row r="23" spans="1:23" s="20" customFormat="1" x14ac:dyDescent="0.3">
      <c r="A23" s="20" t="s">
        <v>16</v>
      </c>
      <c r="B23" s="21">
        <f t="shared" si="0"/>
        <v>45</v>
      </c>
      <c r="C23" s="21">
        <v>1</v>
      </c>
      <c r="D23" s="22" t="s">
        <v>17</v>
      </c>
      <c r="E23" s="23">
        <v>1968.24</v>
      </c>
      <c r="F23" s="22" t="s">
        <v>18</v>
      </c>
      <c r="G23" s="24">
        <v>46265</v>
      </c>
      <c r="H23" s="21">
        <v>1</v>
      </c>
      <c r="I23" s="22" t="s">
        <v>19</v>
      </c>
      <c r="K23" s="20">
        <v>101</v>
      </c>
      <c r="L23" s="22" t="s">
        <v>447</v>
      </c>
      <c r="M23" s="22">
        <v>1</v>
      </c>
      <c r="N23" s="22">
        <v>31550109</v>
      </c>
      <c r="O23" s="25" t="s">
        <v>470</v>
      </c>
      <c r="Q23" s="22" t="s">
        <v>20</v>
      </c>
      <c r="R23" s="22" t="s">
        <v>18</v>
      </c>
      <c r="S23" s="20" t="s">
        <v>346</v>
      </c>
      <c r="T23" s="21">
        <v>19000</v>
      </c>
      <c r="U23" s="22" t="s">
        <v>656</v>
      </c>
      <c r="V23" s="21">
        <f t="shared" si="1"/>
        <v>46</v>
      </c>
      <c r="W23" s="22" t="str">
        <f>'PLANO DE SAÚDE'!C26</f>
        <v>31040</v>
      </c>
    </row>
    <row r="24" spans="1:23" s="20" customFormat="1" x14ac:dyDescent="0.3">
      <c r="A24" s="20" t="s">
        <v>16</v>
      </c>
      <c r="B24" s="21">
        <f t="shared" si="0"/>
        <v>47</v>
      </c>
      <c r="C24" s="21">
        <v>1</v>
      </c>
      <c r="D24" s="22" t="s">
        <v>17</v>
      </c>
      <c r="E24" s="23">
        <v>16599.679999999989</v>
      </c>
      <c r="F24" s="22" t="s">
        <v>18</v>
      </c>
      <c r="G24" s="24">
        <v>46265</v>
      </c>
      <c r="H24" s="21">
        <v>1</v>
      </c>
      <c r="I24" s="22" t="s">
        <v>19</v>
      </c>
      <c r="K24" s="20">
        <v>101</v>
      </c>
      <c r="L24" s="22" t="s">
        <v>447</v>
      </c>
      <c r="M24" s="22">
        <v>1</v>
      </c>
      <c r="N24" s="22">
        <v>31550109</v>
      </c>
      <c r="O24" s="25" t="s">
        <v>471</v>
      </c>
      <c r="Q24" s="22" t="s">
        <v>20</v>
      </c>
      <c r="R24" s="22" t="s">
        <v>18</v>
      </c>
      <c r="S24" s="20" t="s">
        <v>347</v>
      </c>
      <c r="T24" s="21">
        <v>19000</v>
      </c>
      <c r="U24" s="22" t="s">
        <v>656</v>
      </c>
      <c r="V24" s="21">
        <f t="shared" si="1"/>
        <v>48</v>
      </c>
      <c r="W24" s="22" t="str">
        <f>'PLANO DE SAÚDE'!C27</f>
        <v>31060</v>
      </c>
    </row>
    <row r="25" spans="1:23" s="20" customFormat="1" x14ac:dyDescent="0.3">
      <c r="A25" s="20" t="s">
        <v>16</v>
      </c>
      <c r="B25" s="21">
        <f t="shared" si="0"/>
        <v>49</v>
      </c>
      <c r="C25" s="21">
        <v>1</v>
      </c>
      <c r="D25" s="22" t="s">
        <v>17</v>
      </c>
      <c r="E25" s="23">
        <v>2558.08</v>
      </c>
      <c r="F25" s="22" t="s">
        <v>18</v>
      </c>
      <c r="G25" s="24">
        <v>46265</v>
      </c>
      <c r="H25" s="21">
        <v>1</v>
      </c>
      <c r="I25" s="22" t="s">
        <v>19</v>
      </c>
      <c r="K25" s="20">
        <v>101</v>
      </c>
      <c r="L25" s="22" t="s">
        <v>447</v>
      </c>
      <c r="M25" s="22">
        <v>1</v>
      </c>
      <c r="N25" s="22">
        <v>31550109</v>
      </c>
      <c r="O25" s="25" t="s">
        <v>472</v>
      </c>
      <c r="Q25" s="22" t="s">
        <v>20</v>
      </c>
      <c r="R25" s="22" t="s">
        <v>18</v>
      </c>
      <c r="S25" s="20" t="s">
        <v>348</v>
      </c>
      <c r="T25" s="21">
        <v>19000</v>
      </c>
      <c r="U25" s="22" t="s">
        <v>656</v>
      </c>
      <c r="V25" s="21">
        <f t="shared" si="1"/>
        <v>50</v>
      </c>
      <c r="W25" s="22" t="str">
        <f>'PLANO DE SAÚDE'!C28</f>
        <v>31070</v>
      </c>
    </row>
    <row r="26" spans="1:23" s="20" customFormat="1" x14ac:dyDescent="0.3">
      <c r="A26" s="20" t="s">
        <v>16</v>
      </c>
      <c r="B26" s="21">
        <f t="shared" si="0"/>
        <v>51</v>
      </c>
      <c r="C26" s="21">
        <v>1</v>
      </c>
      <c r="D26" s="22" t="s">
        <v>17</v>
      </c>
      <c r="E26" s="23">
        <v>10091.379999999997</v>
      </c>
      <c r="F26" s="22" t="s">
        <v>18</v>
      </c>
      <c r="G26" s="24">
        <v>46265</v>
      </c>
      <c r="H26" s="21">
        <v>1</v>
      </c>
      <c r="I26" s="22" t="s">
        <v>19</v>
      </c>
      <c r="K26" s="20">
        <v>101</v>
      </c>
      <c r="L26" s="22" t="s">
        <v>447</v>
      </c>
      <c r="M26" s="22">
        <v>1</v>
      </c>
      <c r="N26" s="22">
        <v>31550109</v>
      </c>
      <c r="O26" s="25" t="s">
        <v>473</v>
      </c>
      <c r="Q26" s="22" t="s">
        <v>20</v>
      </c>
      <c r="R26" s="22" t="s">
        <v>18</v>
      </c>
      <c r="S26" s="20" t="s">
        <v>349</v>
      </c>
      <c r="T26" s="21">
        <v>19000</v>
      </c>
      <c r="U26" s="22" t="s">
        <v>656</v>
      </c>
      <c r="V26" s="21">
        <f t="shared" si="1"/>
        <v>52</v>
      </c>
      <c r="W26" s="22" t="str">
        <f>'PLANO DE SAÚDE'!C29</f>
        <v>31090</v>
      </c>
    </row>
    <row r="27" spans="1:23" s="20" customFormat="1" x14ac:dyDescent="0.3">
      <c r="A27" s="20" t="s">
        <v>16</v>
      </c>
      <c r="B27" s="21">
        <f t="shared" si="0"/>
        <v>53</v>
      </c>
      <c r="C27" s="21">
        <v>1</v>
      </c>
      <c r="D27" s="22" t="s">
        <v>17</v>
      </c>
      <c r="E27" s="23">
        <v>2240.42</v>
      </c>
      <c r="F27" s="22" t="s">
        <v>18</v>
      </c>
      <c r="G27" s="24">
        <v>46265</v>
      </c>
      <c r="H27" s="21">
        <v>1</v>
      </c>
      <c r="I27" s="22" t="s">
        <v>19</v>
      </c>
      <c r="K27" s="20">
        <v>101</v>
      </c>
      <c r="L27" s="22" t="s">
        <v>447</v>
      </c>
      <c r="M27" s="22">
        <v>1</v>
      </c>
      <c r="N27" s="22">
        <v>31550109</v>
      </c>
      <c r="O27" s="25" t="s">
        <v>474</v>
      </c>
      <c r="Q27" s="22" t="s">
        <v>20</v>
      </c>
      <c r="R27" s="22" t="s">
        <v>18</v>
      </c>
      <c r="S27" s="20" t="s">
        <v>405</v>
      </c>
      <c r="T27" s="21">
        <v>19000</v>
      </c>
      <c r="U27" s="22" t="s">
        <v>656</v>
      </c>
      <c r="V27" s="21">
        <f t="shared" si="1"/>
        <v>54</v>
      </c>
      <c r="W27" s="22" t="str">
        <f>'PLANO DE SAÚDE'!C30</f>
        <v>31100</v>
      </c>
    </row>
    <row r="28" spans="1:23" s="20" customFormat="1" x14ac:dyDescent="0.3">
      <c r="A28" s="20" t="s">
        <v>16</v>
      </c>
      <c r="B28" s="21">
        <f t="shared" si="0"/>
        <v>55</v>
      </c>
      <c r="C28" s="21">
        <v>1</v>
      </c>
      <c r="D28" s="22" t="s">
        <v>17</v>
      </c>
      <c r="E28" s="23">
        <v>1324.85</v>
      </c>
      <c r="F28" s="22" t="s">
        <v>18</v>
      </c>
      <c r="G28" s="24">
        <v>46265</v>
      </c>
      <c r="H28" s="21">
        <v>1</v>
      </c>
      <c r="I28" s="22" t="s">
        <v>19</v>
      </c>
      <c r="K28" s="20">
        <v>101</v>
      </c>
      <c r="L28" s="22" t="s">
        <v>447</v>
      </c>
      <c r="M28" s="22">
        <v>1</v>
      </c>
      <c r="N28" s="22">
        <v>31550109</v>
      </c>
      <c r="O28" s="25" t="s">
        <v>475</v>
      </c>
      <c r="Q28" s="22" t="s">
        <v>20</v>
      </c>
      <c r="R28" s="22" t="s">
        <v>18</v>
      </c>
      <c r="S28" s="20" t="s">
        <v>350</v>
      </c>
      <c r="T28" s="21">
        <v>19000</v>
      </c>
      <c r="U28" s="22" t="s">
        <v>656</v>
      </c>
      <c r="V28" s="21">
        <f t="shared" si="1"/>
        <v>56</v>
      </c>
      <c r="W28" s="22" t="str">
        <f>'PLANO DE SAÚDE'!C31</f>
        <v>31111</v>
      </c>
    </row>
    <row r="29" spans="1:23" s="20" customFormat="1" x14ac:dyDescent="0.3">
      <c r="A29" s="20" t="s">
        <v>16</v>
      </c>
      <c r="B29" s="21">
        <f t="shared" si="0"/>
        <v>57</v>
      </c>
      <c r="C29" s="21">
        <v>1</v>
      </c>
      <c r="D29" s="22" t="s">
        <v>17</v>
      </c>
      <c r="E29" s="23">
        <v>2646.44</v>
      </c>
      <c r="F29" s="22" t="s">
        <v>18</v>
      </c>
      <c r="G29" s="24">
        <v>46265</v>
      </c>
      <c r="H29" s="21">
        <v>1</v>
      </c>
      <c r="I29" s="22" t="s">
        <v>19</v>
      </c>
      <c r="K29" s="20">
        <v>101</v>
      </c>
      <c r="L29" s="22" t="s">
        <v>447</v>
      </c>
      <c r="M29" s="22">
        <v>1</v>
      </c>
      <c r="N29" s="22">
        <v>31550109</v>
      </c>
      <c r="O29" s="25" t="s">
        <v>476</v>
      </c>
      <c r="Q29" s="22" t="s">
        <v>20</v>
      </c>
      <c r="R29" s="22" t="s">
        <v>18</v>
      </c>
      <c r="S29" s="20" t="s">
        <v>351</v>
      </c>
      <c r="T29" s="21">
        <v>19000</v>
      </c>
      <c r="U29" s="22" t="s">
        <v>656</v>
      </c>
      <c r="V29" s="21">
        <f t="shared" si="1"/>
        <v>58</v>
      </c>
      <c r="W29" s="22" t="str">
        <f>'PLANO DE SAÚDE'!C32</f>
        <v>31112</v>
      </c>
    </row>
    <row r="30" spans="1:23" s="20" customFormat="1" x14ac:dyDescent="0.3">
      <c r="A30" s="20" t="s">
        <v>16</v>
      </c>
      <c r="B30" s="21">
        <f t="shared" si="0"/>
        <v>59</v>
      </c>
      <c r="C30" s="21">
        <v>1</v>
      </c>
      <c r="D30" s="22" t="s">
        <v>17</v>
      </c>
      <c r="E30" s="23">
        <v>7674.2400000000016</v>
      </c>
      <c r="F30" s="22" t="s">
        <v>18</v>
      </c>
      <c r="G30" s="24">
        <v>46265</v>
      </c>
      <c r="H30" s="21">
        <v>1</v>
      </c>
      <c r="I30" s="22" t="s">
        <v>19</v>
      </c>
      <c r="K30" s="20">
        <v>101</v>
      </c>
      <c r="L30" s="22" t="s">
        <v>447</v>
      </c>
      <c r="M30" s="22">
        <v>1</v>
      </c>
      <c r="N30" s="22">
        <v>31550109</v>
      </c>
      <c r="O30" s="25" t="s">
        <v>477</v>
      </c>
      <c r="Q30" s="22" t="s">
        <v>20</v>
      </c>
      <c r="R30" s="22" t="s">
        <v>18</v>
      </c>
      <c r="S30" s="20" t="s">
        <v>352</v>
      </c>
      <c r="T30" s="21">
        <v>19000</v>
      </c>
      <c r="U30" s="22" t="s">
        <v>656</v>
      </c>
      <c r="V30" s="21">
        <f t="shared" si="1"/>
        <v>60</v>
      </c>
      <c r="W30" s="22" t="str">
        <f>'PLANO DE SAÚDE'!C33</f>
        <v>31114</v>
      </c>
    </row>
    <row r="31" spans="1:23" s="20" customFormat="1" x14ac:dyDescent="0.3">
      <c r="A31" s="20" t="s">
        <v>16</v>
      </c>
      <c r="B31" s="21">
        <f t="shared" si="0"/>
        <v>61</v>
      </c>
      <c r="C31" s="21">
        <v>1</v>
      </c>
      <c r="D31" s="22" t="s">
        <v>17</v>
      </c>
      <c r="E31" s="23">
        <v>776.26</v>
      </c>
      <c r="F31" s="22" t="s">
        <v>18</v>
      </c>
      <c r="G31" s="24">
        <v>46265</v>
      </c>
      <c r="H31" s="21">
        <v>1</v>
      </c>
      <c r="I31" s="22" t="s">
        <v>19</v>
      </c>
      <c r="K31" s="20">
        <v>101</v>
      </c>
      <c r="L31" s="22" t="s">
        <v>447</v>
      </c>
      <c r="M31" s="22">
        <v>1</v>
      </c>
      <c r="N31" s="22">
        <v>31550109</v>
      </c>
      <c r="O31" s="25" t="s">
        <v>478</v>
      </c>
      <c r="Q31" s="22" t="s">
        <v>20</v>
      </c>
      <c r="R31" s="22" t="s">
        <v>18</v>
      </c>
      <c r="S31" s="20" t="s">
        <v>406</v>
      </c>
      <c r="T31" s="21">
        <v>19000</v>
      </c>
      <c r="U31" s="22" t="s">
        <v>656</v>
      </c>
      <c r="V31" s="21">
        <f t="shared" si="1"/>
        <v>62</v>
      </c>
      <c r="W31" s="22" t="str">
        <f>'PLANO DE SAÚDE'!C34</f>
        <v>31115</v>
      </c>
    </row>
    <row r="32" spans="1:23" s="20" customFormat="1" x14ac:dyDescent="0.3">
      <c r="A32" s="20" t="s">
        <v>16</v>
      </c>
      <c r="B32" s="21">
        <f t="shared" si="0"/>
        <v>63</v>
      </c>
      <c r="C32" s="21">
        <v>1</v>
      </c>
      <c r="D32" s="22" t="s">
        <v>17</v>
      </c>
      <c r="E32" s="23">
        <v>2099.48</v>
      </c>
      <c r="F32" s="22" t="s">
        <v>18</v>
      </c>
      <c r="G32" s="24">
        <v>46265</v>
      </c>
      <c r="H32" s="21">
        <v>1</v>
      </c>
      <c r="I32" s="22" t="s">
        <v>19</v>
      </c>
      <c r="K32" s="20">
        <v>101</v>
      </c>
      <c r="L32" s="22" t="s">
        <v>447</v>
      </c>
      <c r="M32" s="22">
        <v>1</v>
      </c>
      <c r="N32" s="22">
        <v>31550109</v>
      </c>
      <c r="O32" s="25" t="s">
        <v>479</v>
      </c>
      <c r="Q32" s="22" t="s">
        <v>20</v>
      </c>
      <c r="R32" s="22" t="s">
        <v>18</v>
      </c>
      <c r="S32" s="20" t="s">
        <v>353</v>
      </c>
      <c r="T32" s="21">
        <v>19000</v>
      </c>
      <c r="U32" s="22" t="s">
        <v>656</v>
      </c>
      <c r="V32" s="21">
        <f t="shared" si="1"/>
        <v>64</v>
      </c>
      <c r="W32" s="22" t="str">
        <f>'PLANO DE SAÚDE'!C35</f>
        <v>31116</v>
      </c>
    </row>
    <row r="33" spans="1:23" s="20" customFormat="1" x14ac:dyDescent="0.3">
      <c r="A33" s="20" t="s">
        <v>16</v>
      </c>
      <c r="B33" s="21">
        <f t="shared" si="0"/>
        <v>65</v>
      </c>
      <c r="C33" s="21">
        <v>1</v>
      </c>
      <c r="D33" s="22" t="s">
        <v>17</v>
      </c>
      <c r="E33" s="23">
        <v>2558.08</v>
      </c>
      <c r="F33" s="22" t="s">
        <v>18</v>
      </c>
      <c r="G33" s="24">
        <v>46265</v>
      </c>
      <c r="H33" s="21">
        <v>1</v>
      </c>
      <c r="I33" s="22" t="s">
        <v>19</v>
      </c>
      <c r="K33" s="20">
        <v>101</v>
      </c>
      <c r="L33" s="22" t="s">
        <v>447</v>
      </c>
      <c r="M33" s="22">
        <v>1</v>
      </c>
      <c r="N33" s="22">
        <v>31550109</v>
      </c>
      <c r="O33" s="25" t="s">
        <v>480</v>
      </c>
      <c r="Q33" s="22" t="s">
        <v>20</v>
      </c>
      <c r="R33" s="22" t="s">
        <v>18</v>
      </c>
      <c r="S33" s="20" t="s">
        <v>354</v>
      </c>
      <c r="T33" s="21">
        <v>19000</v>
      </c>
      <c r="U33" s="22" t="s">
        <v>656</v>
      </c>
      <c r="V33" s="21">
        <f t="shared" si="1"/>
        <v>66</v>
      </c>
      <c r="W33" s="22" t="str">
        <f>'PLANO DE SAÚDE'!C36</f>
        <v>31200</v>
      </c>
    </row>
    <row r="34" spans="1:23" s="20" customFormat="1" x14ac:dyDescent="0.3">
      <c r="A34" s="20" t="s">
        <v>16</v>
      </c>
      <c r="B34" s="21">
        <f t="shared" si="0"/>
        <v>67</v>
      </c>
      <c r="C34" s="21">
        <v>1</v>
      </c>
      <c r="D34" s="22" t="s">
        <v>17</v>
      </c>
      <c r="E34" s="23">
        <v>1323.22</v>
      </c>
      <c r="F34" s="22" t="s">
        <v>18</v>
      </c>
      <c r="G34" s="24">
        <v>46265</v>
      </c>
      <c r="H34" s="21">
        <v>1</v>
      </c>
      <c r="I34" s="22" t="s">
        <v>19</v>
      </c>
      <c r="K34" s="20">
        <v>101</v>
      </c>
      <c r="L34" s="22" t="s">
        <v>447</v>
      </c>
      <c r="M34" s="22">
        <v>1</v>
      </c>
      <c r="N34" s="22">
        <v>31550109</v>
      </c>
      <c r="O34" s="25" t="s">
        <v>481</v>
      </c>
      <c r="Q34" s="22" t="s">
        <v>20</v>
      </c>
      <c r="R34" s="22" t="s">
        <v>18</v>
      </c>
      <c r="S34" s="20" t="s">
        <v>407</v>
      </c>
      <c r="T34" s="21">
        <v>19000</v>
      </c>
      <c r="U34" s="22" t="s">
        <v>656</v>
      </c>
      <c r="V34" s="21">
        <f t="shared" si="1"/>
        <v>68</v>
      </c>
      <c r="W34" s="22" t="str">
        <f>'PLANO DE SAÚDE'!C37</f>
        <v>31300</v>
      </c>
    </row>
    <row r="35" spans="1:23" s="20" customFormat="1" x14ac:dyDescent="0.3">
      <c r="A35" s="20" t="s">
        <v>16</v>
      </c>
      <c r="B35" s="21">
        <f t="shared" si="0"/>
        <v>69</v>
      </c>
      <c r="C35" s="21">
        <v>1</v>
      </c>
      <c r="D35" s="22" t="s">
        <v>17</v>
      </c>
      <c r="E35" s="23">
        <v>7916.0300000000007</v>
      </c>
      <c r="F35" s="22" t="s">
        <v>18</v>
      </c>
      <c r="G35" s="24">
        <v>46265</v>
      </c>
      <c r="H35" s="21">
        <v>1</v>
      </c>
      <c r="I35" s="22" t="s">
        <v>19</v>
      </c>
      <c r="K35" s="20">
        <v>101</v>
      </c>
      <c r="L35" s="22" t="s">
        <v>447</v>
      </c>
      <c r="M35" s="22">
        <v>1</v>
      </c>
      <c r="N35" s="22">
        <v>31550109</v>
      </c>
      <c r="O35" s="25" t="s">
        <v>482</v>
      </c>
      <c r="Q35" s="22" t="s">
        <v>20</v>
      </c>
      <c r="R35" s="22" t="s">
        <v>18</v>
      </c>
      <c r="S35" s="20" t="s">
        <v>355</v>
      </c>
      <c r="T35" s="21">
        <v>19000</v>
      </c>
      <c r="U35" s="22" t="s">
        <v>656</v>
      </c>
      <c r="V35" s="21">
        <f t="shared" si="1"/>
        <v>70</v>
      </c>
      <c r="W35" s="22" t="str">
        <f>'PLANO DE SAÚDE'!C38</f>
        <v>33010</v>
      </c>
    </row>
    <row r="36" spans="1:23" s="20" customFormat="1" x14ac:dyDescent="0.3">
      <c r="A36" s="20" t="s">
        <v>16</v>
      </c>
      <c r="B36" s="21">
        <f t="shared" si="0"/>
        <v>71</v>
      </c>
      <c r="C36" s="21">
        <v>1</v>
      </c>
      <c r="D36" s="22" t="s">
        <v>17</v>
      </c>
      <c r="E36" s="23">
        <v>1323.22</v>
      </c>
      <c r="F36" s="22" t="s">
        <v>18</v>
      </c>
      <c r="G36" s="24">
        <v>46265</v>
      </c>
      <c r="H36" s="21">
        <v>1</v>
      </c>
      <c r="I36" s="22" t="s">
        <v>19</v>
      </c>
      <c r="K36" s="20">
        <v>101</v>
      </c>
      <c r="L36" s="22" t="s">
        <v>447</v>
      </c>
      <c r="M36" s="22">
        <v>1</v>
      </c>
      <c r="N36" s="22">
        <v>31550109</v>
      </c>
      <c r="O36" s="25" t="s">
        <v>483</v>
      </c>
      <c r="Q36" s="22" t="s">
        <v>20</v>
      </c>
      <c r="R36" s="22" t="s">
        <v>18</v>
      </c>
      <c r="S36" s="20" t="s">
        <v>408</v>
      </c>
      <c r="T36" s="21">
        <v>19000</v>
      </c>
      <c r="U36" s="22" t="s">
        <v>656</v>
      </c>
      <c r="V36" s="21">
        <f t="shared" si="1"/>
        <v>72</v>
      </c>
      <c r="W36" s="22" t="str">
        <f>'PLANO DE SAÚDE'!C39</f>
        <v>33040</v>
      </c>
    </row>
    <row r="37" spans="1:23" s="20" customFormat="1" x14ac:dyDescent="0.3">
      <c r="A37" s="20" t="s">
        <v>16</v>
      </c>
      <c r="B37" s="21">
        <f t="shared" si="0"/>
        <v>73</v>
      </c>
      <c r="C37" s="21">
        <v>1</v>
      </c>
      <c r="D37" s="22" t="s">
        <v>17</v>
      </c>
      <c r="E37" s="23">
        <v>3740.3600000000006</v>
      </c>
      <c r="F37" s="22" t="s">
        <v>18</v>
      </c>
      <c r="G37" s="24">
        <v>46265</v>
      </c>
      <c r="H37" s="21">
        <v>1</v>
      </c>
      <c r="I37" s="22" t="s">
        <v>19</v>
      </c>
      <c r="K37" s="20">
        <v>101</v>
      </c>
      <c r="L37" s="22" t="s">
        <v>447</v>
      </c>
      <c r="M37" s="22">
        <v>1</v>
      </c>
      <c r="N37" s="22">
        <v>31550109</v>
      </c>
      <c r="O37" s="25" t="s">
        <v>484</v>
      </c>
      <c r="Q37" s="22" t="s">
        <v>20</v>
      </c>
      <c r="R37" s="22" t="s">
        <v>18</v>
      </c>
      <c r="S37" s="20" t="s">
        <v>356</v>
      </c>
      <c r="T37" s="21">
        <v>19000</v>
      </c>
      <c r="U37" s="22" t="s">
        <v>656</v>
      </c>
      <c r="V37" s="21">
        <f t="shared" si="1"/>
        <v>74</v>
      </c>
      <c r="W37" s="22" t="str">
        <f>'PLANO DE SAÚDE'!C40</f>
        <v>33050</v>
      </c>
    </row>
    <row r="38" spans="1:23" s="20" customFormat="1" x14ac:dyDescent="0.3">
      <c r="A38" s="20" t="s">
        <v>16</v>
      </c>
      <c r="B38" s="21">
        <f t="shared" si="0"/>
        <v>75</v>
      </c>
      <c r="C38" s="21">
        <v>1</v>
      </c>
      <c r="D38" s="22" t="s">
        <v>17</v>
      </c>
      <c r="E38" s="23">
        <v>4287.32</v>
      </c>
      <c r="F38" s="22" t="s">
        <v>18</v>
      </c>
      <c r="G38" s="24">
        <v>46265</v>
      </c>
      <c r="H38" s="21">
        <v>1</v>
      </c>
      <c r="I38" s="22" t="s">
        <v>19</v>
      </c>
      <c r="K38" s="20">
        <v>101</v>
      </c>
      <c r="L38" s="22" t="s">
        <v>447</v>
      </c>
      <c r="M38" s="22">
        <v>1</v>
      </c>
      <c r="N38" s="22">
        <v>31550109</v>
      </c>
      <c r="O38" s="25" t="s">
        <v>485</v>
      </c>
      <c r="Q38" s="22" t="s">
        <v>20</v>
      </c>
      <c r="R38" s="22" t="s">
        <v>18</v>
      </c>
      <c r="S38" s="20" t="s">
        <v>357</v>
      </c>
      <c r="T38" s="21">
        <v>19000</v>
      </c>
      <c r="U38" s="22" t="s">
        <v>656</v>
      </c>
      <c r="V38" s="21">
        <f t="shared" si="1"/>
        <v>76</v>
      </c>
      <c r="W38" s="22" t="str">
        <f>'PLANO DE SAÚDE'!C41</f>
        <v>33060</v>
      </c>
    </row>
    <row r="39" spans="1:23" s="20" customFormat="1" x14ac:dyDescent="0.3">
      <c r="A39" s="20" t="s">
        <v>16</v>
      </c>
      <c r="B39" s="21">
        <f t="shared" si="0"/>
        <v>77</v>
      </c>
      <c r="C39" s="21">
        <v>1</v>
      </c>
      <c r="D39" s="22" t="s">
        <v>17</v>
      </c>
      <c r="E39" s="23">
        <v>546.96</v>
      </c>
      <c r="F39" s="22" t="s">
        <v>18</v>
      </c>
      <c r="G39" s="24">
        <v>46265</v>
      </c>
      <c r="H39" s="21">
        <v>1</v>
      </c>
      <c r="I39" s="22" t="s">
        <v>19</v>
      </c>
      <c r="K39" s="20">
        <v>101</v>
      </c>
      <c r="L39" s="22" t="s">
        <v>447</v>
      </c>
      <c r="M39" s="22">
        <v>1</v>
      </c>
      <c r="N39" s="22">
        <v>31550109</v>
      </c>
      <c r="O39" s="25" t="s">
        <v>486</v>
      </c>
      <c r="Q39" s="22" t="s">
        <v>20</v>
      </c>
      <c r="R39" s="22" t="s">
        <v>18</v>
      </c>
      <c r="S39" s="20" t="s">
        <v>409</v>
      </c>
      <c r="T39" s="21">
        <v>19000</v>
      </c>
      <c r="U39" s="22" t="s">
        <v>656</v>
      </c>
      <c r="V39" s="21">
        <f t="shared" si="1"/>
        <v>78</v>
      </c>
      <c r="W39" s="22" t="str">
        <f>'PLANO DE SAÚDE'!C42</f>
        <v>55030</v>
      </c>
    </row>
    <row r="40" spans="1:23" s="20" customFormat="1" x14ac:dyDescent="0.3">
      <c r="A40" s="20" t="s">
        <v>16</v>
      </c>
      <c r="B40" s="21">
        <f t="shared" si="0"/>
        <v>79</v>
      </c>
      <c r="C40" s="21">
        <v>1</v>
      </c>
      <c r="D40" s="22" t="s">
        <v>17</v>
      </c>
      <c r="E40" s="23">
        <v>229.3</v>
      </c>
      <c r="F40" s="22" t="s">
        <v>18</v>
      </c>
      <c r="G40" s="24">
        <v>46265</v>
      </c>
      <c r="H40" s="21">
        <v>1</v>
      </c>
      <c r="I40" s="22" t="s">
        <v>19</v>
      </c>
      <c r="K40" s="20">
        <v>101</v>
      </c>
      <c r="L40" s="22" t="s">
        <v>447</v>
      </c>
      <c r="M40" s="22">
        <v>1</v>
      </c>
      <c r="N40" s="22">
        <v>31550109</v>
      </c>
      <c r="O40" s="25" t="s">
        <v>487</v>
      </c>
      <c r="Q40" s="22" t="s">
        <v>20</v>
      </c>
      <c r="R40" s="22" t="s">
        <v>18</v>
      </c>
      <c r="S40" s="20">
        <v>21012</v>
      </c>
      <c r="T40" s="21">
        <v>19000</v>
      </c>
      <c r="U40" s="22" t="s">
        <v>656</v>
      </c>
      <c r="V40" s="21">
        <f t="shared" si="1"/>
        <v>80</v>
      </c>
      <c r="W40" s="22">
        <f>'PLANO DE SAÚDE'!C43</f>
        <v>21012</v>
      </c>
    </row>
    <row r="41" spans="1:23" s="20" customFormat="1" x14ac:dyDescent="0.3">
      <c r="A41" s="20" t="s">
        <v>16</v>
      </c>
      <c r="B41" s="21">
        <f t="shared" si="0"/>
        <v>81</v>
      </c>
      <c r="C41" s="21">
        <v>1</v>
      </c>
      <c r="D41" s="22" t="s">
        <v>17</v>
      </c>
      <c r="E41" s="23">
        <v>546.96</v>
      </c>
      <c r="F41" s="22" t="s">
        <v>18</v>
      </c>
      <c r="G41" s="24">
        <v>46265</v>
      </c>
      <c r="H41" s="21">
        <v>1</v>
      </c>
      <c r="I41" s="22" t="s">
        <v>19</v>
      </c>
      <c r="K41" s="20">
        <v>101</v>
      </c>
      <c r="L41" s="22" t="s">
        <v>447</v>
      </c>
      <c r="M41" s="22">
        <v>1</v>
      </c>
      <c r="N41" s="22">
        <v>31550109</v>
      </c>
      <c r="O41" s="25" t="s">
        <v>488</v>
      </c>
      <c r="Q41" s="22" t="s">
        <v>20</v>
      </c>
      <c r="R41" s="22" t="s">
        <v>18</v>
      </c>
      <c r="S41" s="20">
        <v>31090</v>
      </c>
      <c r="T41" s="21">
        <v>19000</v>
      </c>
      <c r="U41" s="22" t="s">
        <v>656</v>
      </c>
      <c r="V41" s="21">
        <f t="shared" si="1"/>
        <v>82</v>
      </c>
      <c r="W41" s="22">
        <f>'PLANO DE SAÚDE'!C44</f>
        <v>31090</v>
      </c>
    </row>
    <row r="42" spans="1:23" s="20" customFormat="1" x14ac:dyDescent="0.3">
      <c r="A42" s="20" t="s">
        <v>16</v>
      </c>
      <c r="B42" s="21">
        <f t="shared" si="0"/>
        <v>83</v>
      </c>
      <c r="C42" s="21">
        <v>1</v>
      </c>
      <c r="D42" s="22" t="s">
        <v>17</v>
      </c>
      <c r="E42" s="23">
        <v>229.3</v>
      </c>
      <c r="F42" s="22" t="s">
        <v>18</v>
      </c>
      <c r="G42" s="24">
        <v>46265</v>
      </c>
      <c r="H42" s="21">
        <v>1</v>
      </c>
      <c r="I42" s="22" t="s">
        <v>19</v>
      </c>
      <c r="K42" s="20">
        <v>101</v>
      </c>
      <c r="L42" s="22" t="s">
        <v>447</v>
      </c>
      <c r="M42" s="22">
        <v>1</v>
      </c>
      <c r="N42" s="22">
        <v>31550109</v>
      </c>
      <c r="O42" s="25" t="s">
        <v>489</v>
      </c>
      <c r="Q42" s="22" t="s">
        <v>20</v>
      </c>
      <c r="R42" s="22" t="s">
        <v>18</v>
      </c>
      <c r="S42" s="20">
        <v>13016</v>
      </c>
      <c r="T42" s="21">
        <v>19000</v>
      </c>
      <c r="U42" s="22" t="s">
        <v>656</v>
      </c>
      <c r="V42" s="21">
        <f t="shared" si="1"/>
        <v>84</v>
      </c>
      <c r="W42" s="22">
        <f>'PLANO DE SAÚDE'!C45</f>
        <v>13016</v>
      </c>
    </row>
    <row r="43" spans="1:23" s="20" customFormat="1" x14ac:dyDescent="0.3">
      <c r="A43" s="20" t="s">
        <v>16</v>
      </c>
      <c r="B43" s="21">
        <f t="shared" si="0"/>
        <v>85</v>
      </c>
      <c r="C43" s="21">
        <v>1</v>
      </c>
      <c r="D43" s="22" t="s">
        <v>17</v>
      </c>
      <c r="E43" s="23">
        <v>546.96</v>
      </c>
      <c r="F43" s="22" t="s">
        <v>18</v>
      </c>
      <c r="G43" s="24">
        <v>46265</v>
      </c>
      <c r="H43" s="21">
        <v>1</v>
      </c>
      <c r="I43" s="22" t="s">
        <v>19</v>
      </c>
      <c r="K43" s="20">
        <v>101</v>
      </c>
      <c r="L43" s="22" t="s">
        <v>447</v>
      </c>
      <c r="M43" s="22">
        <v>1</v>
      </c>
      <c r="N43" s="22">
        <v>31550109</v>
      </c>
      <c r="O43" s="25" t="s">
        <v>490</v>
      </c>
      <c r="Q43" s="22" t="s">
        <v>20</v>
      </c>
      <c r="R43" s="22" t="s">
        <v>18</v>
      </c>
      <c r="S43" s="20">
        <v>33050</v>
      </c>
      <c r="T43" s="21">
        <v>19000</v>
      </c>
      <c r="U43" s="22" t="s">
        <v>656</v>
      </c>
      <c r="V43" s="21">
        <f t="shared" si="1"/>
        <v>86</v>
      </c>
      <c r="W43" s="22">
        <f>'PLANO DE SAÚDE'!C46</f>
        <v>33050</v>
      </c>
    </row>
    <row r="44" spans="1:23" s="20" customFormat="1" x14ac:dyDescent="0.3">
      <c r="A44" s="20" t="s">
        <v>16</v>
      </c>
      <c r="B44" s="21">
        <f t="shared" si="0"/>
        <v>87</v>
      </c>
      <c r="C44" s="21">
        <v>1</v>
      </c>
      <c r="D44" s="22" t="s">
        <v>17</v>
      </c>
      <c r="E44" s="23">
        <v>229.3</v>
      </c>
      <c r="F44" s="22" t="s">
        <v>18</v>
      </c>
      <c r="G44" s="24">
        <v>46265</v>
      </c>
      <c r="H44" s="21">
        <v>1</v>
      </c>
      <c r="I44" s="22" t="s">
        <v>19</v>
      </c>
      <c r="K44" s="20">
        <v>101</v>
      </c>
      <c r="L44" s="22" t="s">
        <v>447</v>
      </c>
      <c r="M44" s="22">
        <v>1</v>
      </c>
      <c r="N44" s="22">
        <v>31550109</v>
      </c>
      <c r="O44" s="25" t="s">
        <v>491</v>
      </c>
      <c r="Q44" s="22" t="s">
        <v>20</v>
      </c>
      <c r="R44" s="22" t="s">
        <v>18</v>
      </c>
      <c r="S44" s="20">
        <v>21011</v>
      </c>
      <c r="T44" s="21">
        <v>19000</v>
      </c>
      <c r="U44" s="22" t="s">
        <v>656</v>
      </c>
      <c r="V44" s="21">
        <f t="shared" si="1"/>
        <v>88</v>
      </c>
      <c r="W44" s="22">
        <f>'PLANO DE SAÚDE'!C47</f>
        <v>21011</v>
      </c>
    </row>
    <row r="45" spans="1:23" s="20" customFormat="1" x14ac:dyDescent="0.3">
      <c r="A45" s="20" t="s">
        <v>16</v>
      </c>
      <c r="B45" s="21">
        <f t="shared" si="0"/>
        <v>89</v>
      </c>
      <c r="C45" s="21">
        <v>1</v>
      </c>
      <c r="D45" s="22" t="s">
        <v>17</v>
      </c>
      <c r="E45" s="23">
        <v>74.150000000000006</v>
      </c>
      <c r="F45" s="22" t="s">
        <v>18</v>
      </c>
      <c r="G45" s="24">
        <v>46265</v>
      </c>
      <c r="H45" s="21">
        <v>1</v>
      </c>
      <c r="I45" s="22" t="s">
        <v>19</v>
      </c>
      <c r="K45" s="20">
        <v>101</v>
      </c>
      <c r="L45" s="22" t="s">
        <v>447</v>
      </c>
      <c r="M45" s="22">
        <v>1</v>
      </c>
      <c r="N45" s="22">
        <v>31550109</v>
      </c>
      <c r="O45" s="25" t="s">
        <v>492</v>
      </c>
      <c r="Q45" s="22" t="s">
        <v>20</v>
      </c>
      <c r="R45" s="22" t="s">
        <v>18</v>
      </c>
      <c r="S45" s="20">
        <v>11011</v>
      </c>
      <c r="T45" s="21">
        <v>19000</v>
      </c>
      <c r="U45" s="22" t="s">
        <v>657</v>
      </c>
      <c r="V45" s="21">
        <f t="shared" si="1"/>
        <v>90</v>
      </c>
      <c r="W45" s="22" t="e">
        <f>'PLANO DE SAÚDE'!#REF!</f>
        <v>#REF!</v>
      </c>
    </row>
    <row r="46" spans="1:23" s="20" customFormat="1" x14ac:dyDescent="0.3">
      <c r="A46" s="20" t="s">
        <v>16</v>
      </c>
      <c r="B46" s="21">
        <f t="shared" si="0"/>
        <v>91</v>
      </c>
      <c r="C46" s="21">
        <v>1</v>
      </c>
      <c r="D46" s="22" t="s">
        <v>17</v>
      </c>
      <c r="E46" s="23">
        <v>8.0399999999999991</v>
      </c>
      <c r="F46" s="22" t="s">
        <v>18</v>
      </c>
      <c r="G46" s="24">
        <v>46265</v>
      </c>
      <c r="H46" s="21">
        <v>1</v>
      </c>
      <c r="I46" s="22" t="s">
        <v>19</v>
      </c>
      <c r="K46" s="20">
        <v>101</v>
      </c>
      <c r="L46" s="22" t="s">
        <v>447</v>
      </c>
      <c r="M46" s="22">
        <v>1</v>
      </c>
      <c r="N46" s="22">
        <v>31550109</v>
      </c>
      <c r="O46" s="25" t="s">
        <v>493</v>
      </c>
      <c r="Q46" s="22" t="s">
        <v>20</v>
      </c>
      <c r="R46" s="22" t="s">
        <v>18</v>
      </c>
      <c r="S46" s="20">
        <v>13013</v>
      </c>
      <c r="T46" s="21">
        <v>19000</v>
      </c>
      <c r="U46" s="22" t="s">
        <v>657</v>
      </c>
      <c r="V46" s="21">
        <f t="shared" si="1"/>
        <v>92</v>
      </c>
      <c r="W46" s="22" t="e">
        <f>'PLANO DE SAÚDE'!#REF!</f>
        <v>#REF!</v>
      </c>
    </row>
    <row r="47" spans="1:23" s="20" customFormat="1" x14ac:dyDescent="0.3">
      <c r="A47" s="20" t="s">
        <v>16</v>
      </c>
      <c r="B47" s="21">
        <f t="shared" si="0"/>
        <v>93</v>
      </c>
      <c r="C47" s="21">
        <v>1</v>
      </c>
      <c r="D47" s="22" t="s">
        <v>17</v>
      </c>
      <c r="E47" s="23">
        <v>74.150000000000006</v>
      </c>
      <c r="F47" s="22" t="s">
        <v>18</v>
      </c>
      <c r="G47" s="24">
        <v>46265</v>
      </c>
      <c r="H47" s="21">
        <v>1</v>
      </c>
      <c r="I47" s="22" t="s">
        <v>19</v>
      </c>
      <c r="K47" s="20">
        <v>101</v>
      </c>
      <c r="L47" s="22" t="s">
        <v>447</v>
      </c>
      <c r="M47" s="22">
        <v>1</v>
      </c>
      <c r="N47" s="22">
        <v>31550109</v>
      </c>
      <c r="O47" s="25" t="s">
        <v>494</v>
      </c>
      <c r="Q47" s="22" t="s">
        <v>20</v>
      </c>
      <c r="R47" s="22" t="s">
        <v>18</v>
      </c>
      <c r="S47" s="20">
        <v>13014</v>
      </c>
      <c r="T47" s="21">
        <v>19000</v>
      </c>
      <c r="U47" s="22" t="s">
        <v>657</v>
      </c>
      <c r="V47" s="21">
        <f t="shared" si="1"/>
        <v>94</v>
      </c>
      <c r="W47" s="22">
        <f>'PLANO DE SAÚDE'!C48</f>
        <v>11011</v>
      </c>
    </row>
    <row r="48" spans="1:23" s="20" customFormat="1" x14ac:dyDescent="0.3">
      <c r="A48" s="20" t="s">
        <v>16</v>
      </c>
      <c r="B48" s="21">
        <f t="shared" si="0"/>
        <v>95</v>
      </c>
      <c r="C48" s="21">
        <v>1</v>
      </c>
      <c r="D48" s="22" t="s">
        <v>17</v>
      </c>
      <c r="E48" s="23">
        <v>72.359999999999985</v>
      </c>
      <c r="F48" s="22" t="s">
        <v>18</v>
      </c>
      <c r="G48" s="24">
        <v>46265</v>
      </c>
      <c r="H48" s="21">
        <v>1</v>
      </c>
      <c r="I48" s="22" t="s">
        <v>19</v>
      </c>
      <c r="K48" s="20">
        <v>101</v>
      </c>
      <c r="L48" s="22" t="s">
        <v>447</v>
      </c>
      <c r="M48" s="22">
        <v>1</v>
      </c>
      <c r="N48" s="22">
        <v>31550109</v>
      </c>
      <c r="O48" s="25" t="s">
        <v>495</v>
      </c>
      <c r="Q48" s="22" t="s">
        <v>20</v>
      </c>
      <c r="R48" s="22" t="s">
        <v>18</v>
      </c>
      <c r="S48" s="20">
        <v>14050</v>
      </c>
      <c r="T48" s="21">
        <v>19000</v>
      </c>
      <c r="U48" s="22" t="s">
        <v>657</v>
      </c>
      <c r="V48" s="21">
        <f t="shared" si="1"/>
        <v>96</v>
      </c>
      <c r="W48" s="22">
        <f>'PLANO DE SAÚDE'!C49</f>
        <v>13013</v>
      </c>
    </row>
    <row r="49" spans="1:23" s="20" customFormat="1" x14ac:dyDescent="0.3">
      <c r="A49" s="20" t="s">
        <v>16</v>
      </c>
      <c r="B49" s="21">
        <f t="shared" si="0"/>
        <v>97</v>
      </c>
      <c r="C49" s="21">
        <v>1</v>
      </c>
      <c r="D49" s="22" t="s">
        <v>17</v>
      </c>
      <c r="E49" s="23">
        <v>200.99999999999986</v>
      </c>
      <c r="F49" s="22" t="s">
        <v>18</v>
      </c>
      <c r="G49" s="24">
        <v>46265</v>
      </c>
      <c r="H49" s="21">
        <v>1</v>
      </c>
      <c r="I49" s="22" t="s">
        <v>19</v>
      </c>
      <c r="K49" s="20">
        <v>101</v>
      </c>
      <c r="L49" s="22" t="s">
        <v>447</v>
      </c>
      <c r="M49" s="22">
        <v>1</v>
      </c>
      <c r="N49" s="22">
        <v>31550109</v>
      </c>
      <c r="O49" s="25" t="s">
        <v>496</v>
      </c>
      <c r="Q49" s="22" t="s">
        <v>20</v>
      </c>
      <c r="R49" s="22" t="s">
        <v>18</v>
      </c>
      <c r="S49" s="20">
        <v>14051</v>
      </c>
      <c r="T49" s="21">
        <v>19000</v>
      </c>
      <c r="U49" s="22" t="s">
        <v>657</v>
      </c>
      <c r="V49" s="21">
        <f t="shared" si="1"/>
        <v>98</v>
      </c>
      <c r="W49" s="22">
        <f>'PLANO DE SAÚDE'!C50</f>
        <v>13014</v>
      </c>
    </row>
    <row r="50" spans="1:23" s="20" customFormat="1" x14ac:dyDescent="0.3">
      <c r="A50" s="20" t="s">
        <v>16</v>
      </c>
      <c r="B50" s="21">
        <f t="shared" si="0"/>
        <v>99</v>
      </c>
      <c r="C50" s="21">
        <v>1</v>
      </c>
      <c r="D50" s="22" t="s">
        <v>17</v>
      </c>
      <c r="E50" s="23">
        <v>88.439999999999969</v>
      </c>
      <c r="F50" s="22" t="s">
        <v>18</v>
      </c>
      <c r="G50" s="24">
        <v>46265</v>
      </c>
      <c r="H50" s="21">
        <v>1</v>
      </c>
      <c r="I50" s="22" t="s">
        <v>19</v>
      </c>
      <c r="K50" s="20">
        <v>101</v>
      </c>
      <c r="L50" s="22" t="s">
        <v>447</v>
      </c>
      <c r="M50" s="22">
        <v>1</v>
      </c>
      <c r="N50" s="22">
        <v>31550109</v>
      </c>
      <c r="O50" s="25" t="s">
        <v>497</v>
      </c>
      <c r="Q50" s="22" t="s">
        <v>20</v>
      </c>
      <c r="R50" s="22" t="s">
        <v>18</v>
      </c>
      <c r="S50" s="20">
        <v>14052</v>
      </c>
      <c r="T50" s="21">
        <v>19000</v>
      </c>
      <c r="U50" s="22" t="s">
        <v>657</v>
      </c>
      <c r="V50" s="21">
        <f t="shared" si="1"/>
        <v>100</v>
      </c>
      <c r="W50" s="22">
        <f>'PLANO DE SAÚDE'!C51</f>
        <v>14050</v>
      </c>
    </row>
    <row r="51" spans="1:23" s="20" customFormat="1" x14ac:dyDescent="0.3">
      <c r="A51" s="20" t="s">
        <v>16</v>
      </c>
      <c r="B51" s="21">
        <f t="shared" si="0"/>
        <v>101</v>
      </c>
      <c r="C51" s="21">
        <v>1</v>
      </c>
      <c r="D51" s="22" t="s">
        <v>17</v>
      </c>
      <c r="E51" s="23">
        <v>90.23</v>
      </c>
      <c r="F51" s="22" t="s">
        <v>18</v>
      </c>
      <c r="G51" s="24">
        <v>46265</v>
      </c>
      <c r="H51" s="21">
        <v>1</v>
      </c>
      <c r="I51" s="22" t="s">
        <v>19</v>
      </c>
      <c r="K51" s="20">
        <v>101</v>
      </c>
      <c r="L51" s="22" t="s">
        <v>447</v>
      </c>
      <c r="M51" s="22">
        <v>1</v>
      </c>
      <c r="N51" s="22">
        <v>31550109</v>
      </c>
      <c r="O51" s="25" t="s">
        <v>498</v>
      </c>
      <c r="Q51" s="22" t="s">
        <v>20</v>
      </c>
      <c r="R51" s="22" t="s">
        <v>18</v>
      </c>
      <c r="S51" s="20">
        <v>14054</v>
      </c>
      <c r="T51" s="21">
        <v>19000</v>
      </c>
      <c r="U51" s="22" t="s">
        <v>657</v>
      </c>
      <c r="V51" s="21">
        <f t="shared" si="1"/>
        <v>102</v>
      </c>
      <c r="W51" s="22">
        <f>'PLANO DE SAÚDE'!C52</f>
        <v>14051</v>
      </c>
    </row>
    <row r="52" spans="1:23" s="20" customFormat="1" x14ac:dyDescent="0.3">
      <c r="A52" s="20" t="s">
        <v>16</v>
      </c>
      <c r="B52" s="21">
        <f t="shared" si="0"/>
        <v>103</v>
      </c>
      <c r="C52" s="21">
        <v>1</v>
      </c>
      <c r="D52" s="22" t="s">
        <v>17</v>
      </c>
      <c r="E52" s="23">
        <v>64.319999999999993</v>
      </c>
      <c r="F52" s="22" t="s">
        <v>18</v>
      </c>
      <c r="G52" s="24">
        <v>46265</v>
      </c>
      <c r="H52" s="21">
        <v>1</v>
      </c>
      <c r="I52" s="22" t="s">
        <v>19</v>
      </c>
      <c r="K52" s="20">
        <v>101</v>
      </c>
      <c r="L52" s="22" t="s">
        <v>447</v>
      </c>
      <c r="M52" s="22">
        <v>1</v>
      </c>
      <c r="N52" s="22">
        <v>31550109</v>
      </c>
      <c r="O52" s="25" t="s">
        <v>499</v>
      </c>
      <c r="Q52" s="22" t="s">
        <v>20</v>
      </c>
      <c r="R52" s="22" t="s">
        <v>18</v>
      </c>
      <c r="S52" s="20">
        <v>14056</v>
      </c>
      <c r="T52" s="21">
        <v>19000</v>
      </c>
      <c r="U52" s="22" t="s">
        <v>657</v>
      </c>
      <c r="V52" s="21">
        <f t="shared" si="1"/>
        <v>104</v>
      </c>
      <c r="W52" s="22">
        <f>'PLANO DE SAÚDE'!C53</f>
        <v>14052</v>
      </c>
    </row>
    <row r="53" spans="1:23" s="20" customFormat="1" x14ac:dyDescent="0.3">
      <c r="A53" s="20" t="s">
        <v>16</v>
      </c>
      <c r="B53" s="21">
        <f t="shared" si="0"/>
        <v>105</v>
      </c>
      <c r="C53" s="21">
        <v>1</v>
      </c>
      <c r="D53" s="22" t="s">
        <v>17</v>
      </c>
      <c r="E53" s="23">
        <v>209.03999999999985</v>
      </c>
      <c r="F53" s="22" t="s">
        <v>18</v>
      </c>
      <c r="G53" s="24">
        <v>46265</v>
      </c>
      <c r="H53" s="21">
        <v>1</v>
      </c>
      <c r="I53" s="22" t="s">
        <v>19</v>
      </c>
      <c r="K53" s="20">
        <v>101</v>
      </c>
      <c r="L53" s="22" t="s">
        <v>447</v>
      </c>
      <c r="M53" s="22">
        <v>1</v>
      </c>
      <c r="N53" s="22">
        <v>31550109</v>
      </c>
      <c r="O53" s="25" t="s">
        <v>500</v>
      </c>
      <c r="Q53" s="22" t="s">
        <v>20</v>
      </c>
      <c r="R53" s="22" t="s">
        <v>18</v>
      </c>
      <c r="S53" s="20">
        <v>14058</v>
      </c>
      <c r="T53" s="21">
        <v>19000</v>
      </c>
      <c r="U53" s="22" t="s">
        <v>657</v>
      </c>
      <c r="V53" s="21">
        <f t="shared" si="1"/>
        <v>106</v>
      </c>
      <c r="W53" s="22">
        <f>'PLANO DE SAÚDE'!C54</f>
        <v>14054</v>
      </c>
    </row>
    <row r="54" spans="1:23" s="20" customFormat="1" x14ac:dyDescent="0.3">
      <c r="A54" s="20" t="s">
        <v>16</v>
      </c>
      <c r="B54" s="21">
        <f t="shared" si="0"/>
        <v>107</v>
      </c>
      <c r="C54" s="21">
        <v>1</v>
      </c>
      <c r="D54" s="22" t="s">
        <v>17</v>
      </c>
      <c r="E54" s="23">
        <v>8.0399999999999991</v>
      </c>
      <c r="F54" s="22" t="s">
        <v>18</v>
      </c>
      <c r="G54" s="24">
        <v>46265</v>
      </c>
      <c r="H54" s="21">
        <v>1</v>
      </c>
      <c r="I54" s="22" t="s">
        <v>19</v>
      </c>
      <c r="K54" s="20">
        <v>101</v>
      </c>
      <c r="L54" s="22" t="s">
        <v>447</v>
      </c>
      <c r="M54" s="22">
        <v>1</v>
      </c>
      <c r="N54" s="22">
        <v>31550109</v>
      </c>
      <c r="O54" s="25" t="s">
        <v>501</v>
      </c>
      <c r="Q54" s="22" t="s">
        <v>20</v>
      </c>
      <c r="R54" s="22" t="s">
        <v>18</v>
      </c>
      <c r="S54" s="20">
        <v>14062</v>
      </c>
      <c r="T54" s="21">
        <v>19000</v>
      </c>
      <c r="U54" s="22" t="s">
        <v>657</v>
      </c>
      <c r="V54" s="21">
        <f t="shared" si="1"/>
        <v>108</v>
      </c>
      <c r="W54" s="22">
        <f>'PLANO DE SAÚDE'!C55</f>
        <v>14056</v>
      </c>
    </row>
    <row r="55" spans="1:23" s="20" customFormat="1" x14ac:dyDescent="0.3">
      <c r="A55" s="20" t="s">
        <v>16</v>
      </c>
      <c r="B55" s="21">
        <f t="shared" si="0"/>
        <v>109</v>
      </c>
      <c r="C55" s="21">
        <v>1</v>
      </c>
      <c r="D55" s="22" t="s">
        <v>17</v>
      </c>
      <c r="E55" s="23">
        <v>74.150000000000006</v>
      </c>
      <c r="F55" s="22" t="s">
        <v>18</v>
      </c>
      <c r="G55" s="24">
        <v>46265</v>
      </c>
      <c r="H55" s="21">
        <v>1</v>
      </c>
      <c r="I55" s="22" t="s">
        <v>19</v>
      </c>
      <c r="K55" s="20">
        <v>101</v>
      </c>
      <c r="L55" s="22" t="s">
        <v>447</v>
      </c>
      <c r="M55" s="22">
        <v>1</v>
      </c>
      <c r="N55" s="22">
        <v>31550109</v>
      </c>
      <c r="O55" s="25" t="s">
        <v>502</v>
      </c>
      <c r="Q55" s="22" t="s">
        <v>20</v>
      </c>
      <c r="R55" s="22" t="s">
        <v>18</v>
      </c>
      <c r="S55" s="20">
        <v>15012</v>
      </c>
      <c r="T55" s="21">
        <v>19000</v>
      </c>
      <c r="U55" s="22" t="s">
        <v>657</v>
      </c>
      <c r="V55" s="21">
        <f t="shared" si="1"/>
        <v>110</v>
      </c>
      <c r="W55" s="22">
        <f>'PLANO DE SAÚDE'!C56</f>
        <v>14058</v>
      </c>
    </row>
    <row r="56" spans="1:23" s="20" customFormat="1" x14ac:dyDescent="0.3">
      <c r="A56" s="20" t="s">
        <v>16</v>
      </c>
      <c r="B56" s="21">
        <f t="shared" si="0"/>
        <v>111</v>
      </c>
      <c r="C56" s="21">
        <v>1</v>
      </c>
      <c r="D56" s="22" t="s">
        <v>17</v>
      </c>
      <c r="E56" s="23">
        <v>24.119999999999997</v>
      </c>
      <c r="F56" s="22" t="s">
        <v>18</v>
      </c>
      <c r="G56" s="24">
        <v>46265</v>
      </c>
      <c r="H56" s="21">
        <v>1</v>
      </c>
      <c r="I56" s="22" t="s">
        <v>19</v>
      </c>
      <c r="K56" s="20">
        <v>101</v>
      </c>
      <c r="L56" s="22" t="s">
        <v>447</v>
      </c>
      <c r="M56" s="22">
        <v>1</v>
      </c>
      <c r="N56" s="22">
        <v>31550109</v>
      </c>
      <c r="O56" s="25" t="s">
        <v>503</v>
      </c>
      <c r="Q56" s="22" t="s">
        <v>20</v>
      </c>
      <c r="R56" s="22" t="s">
        <v>18</v>
      </c>
      <c r="S56" s="20">
        <v>15050</v>
      </c>
      <c r="T56" s="21">
        <v>19000</v>
      </c>
      <c r="U56" s="22" t="s">
        <v>657</v>
      </c>
      <c r="V56" s="21">
        <f t="shared" si="1"/>
        <v>112</v>
      </c>
      <c r="W56" s="22">
        <f>'PLANO DE SAÚDE'!C57</f>
        <v>14062</v>
      </c>
    </row>
    <row r="57" spans="1:23" s="20" customFormat="1" x14ac:dyDescent="0.3">
      <c r="A57" s="20" t="s">
        <v>16</v>
      </c>
      <c r="B57" s="21">
        <f t="shared" si="0"/>
        <v>113</v>
      </c>
      <c r="C57" s="21">
        <v>1</v>
      </c>
      <c r="D57" s="22" t="s">
        <v>17</v>
      </c>
      <c r="E57" s="23">
        <v>16.079999999999998</v>
      </c>
      <c r="F57" s="22" t="s">
        <v>18</v>
      </c>
      <c r="G57" s="24">
        <v>46265</v>
      </c>
      <c r="H57" s="21">
        <v>1</v>
      </c>
      <c r="I57" s="22" t="s">
        <v>19</v>
      </c>
      <c r="K57" s="20">
        <v>101</v>
      </c>
      <c r="L57" s="22" t="s">
        <v>447</v>
      </c>
      <c r="M57" s="22">
        <v>1</v>
      </c>
      <c r="N57" s="22">
        <v>31550109</v>
      </c>
      <c r="O57" s="25" t="s">
        <v>504</v>
      </c>
      <c r="Q57" s="22" t="s">
        <v>20</v>
      </c>
      <c r="R57" s="22" t="s">
        <v>18</v>
      </c>
      <c r="S57" s="20">
        <v>15051</v>
      </c>
      <c r="T57" s="21">
        <v>19000</v>
      </c>
      <c r="U57" s="22" t="s">
        <v>657</v>
      </c>
      <c r="V57" s="21">
        <f t="shared" si="1"/>
        <v>114</v>
      </c>
      <c r="W57" s="22">
        <f>'PLANO DE SAÚDE'!C58</f>
        <v>15012</v>
      </c>
    </row>
    <row r="58" spans="1:23" s="20" customFormat="1" x14ac:dyDescent="0.3">
      <c r="A58" s="20" t="s">
        <v>16</v>
      </c>
      <c r="B58" s="21">
        <f t="shared" si="0"/>
        <v>115</v>
      </c>
      <c r="C58" s="21">
        <v>1</v>
      </c>
      <c r="D58" s="22" t="s">
        <v>17</v>
      </c>
      <c r="E58" s="23">
        <v>48.239999999999995</v>
      </c>
      <c r="F58" s="22" t="s">
        <v>18</v>
      </c>
      <c r="G58" s="24">
        <v>46265</v>
      </c>
      <c r="H58" s="21">
        <v>1</v>
      </c>
      <c r="I58" s="22" t="s">
        <v>19</v>
      </c>
      <c r="K58" s="20">
        <v>101</v>
      </c>
      <c r="L58" s="22" t="s">
        <v>447</v>
      </c>
      <c r="M58" s="22">
        <v>1</v>
      </c>
      <c r="N58" s="22">
        <v>31550109</v>
      </c>
      <c r="O58" s="25" t="s">
        <v>505</v>
      </c>
      <c r="Q58" s="22" t="s">
        <v>20</v>
      </c>
      <c r="R58" s="22" t="s">
        <v>18</v>
      </c>
      <c r="S58" s="20">
        <v>31060</v>
      </c>
      <c r="T58" s="21">
        <v>19000</v>
      </c>
      <c r="U58" s="22" t="s">
        <v>657</v>
      </c>
      <c r="V58" s="21">
        <f t="shared" si="1"/>
        <v>116</v>
      </c>
      <c r="W58" s="22">
        <f>'PLANO DE SAÚDE'!C59</f>
        <v>15050</v>
      </c>
    </row>
    <row r="59" spans="1:23" s="20" customFormat="1" x14ac:dyDescent="0.3">
      <c r="A59" s="20" t="s">
        <v>16</v>
      </c>
      <c r="B59" s="21">
        <f t="shared" si="0"/>
        <v>117</v>
      </c>
      <c r="C59" s="21">
        <v>1</v>
      </c>
      <c r="D59" s="22" t="s">
        <v>17</v>
      </c>
      <c r="E59" s="23">
        <v>8.0399999999999991</v>
      </c>
      <c r="F59" s="22" t="s">
        <v>18</v>
      </c>
      <c r="G59" s="24">
        <v>46265</v>
      </c>
      <c r="H59" s="21">
        <v>1</v>
      </c>
      <c r="I59" s="22" t="s">
        <v>19</v>
      </c>
      <c r="K59" s="20">
        <v>101</v>
      </c>
      <c r="L59" s="22" t="s">
        <v>447</v>
      </c>
      <c r="M59" s="22">
        <v>1</v>
      </c>
      <c r="N59" s="22">
        <v>31550109</v>
      </c>
      <c r="O59" s="25" t="s">
        <v>506</v>
      </c>
      <c r="Q59" s="22" t="s">
        <v>20</v>
      </c>
      <c r="R59" s="22" t="s">
        <v>18</v>
      </c>
      <c r="S59" s="20">
        <v>31070</v>
      </c>
      <c r="T59" s="21">
        <v>19000</v>
      </c>
      <c r="U59" s="22" t="s">
        <v>657</v>
      </c>
      <c r="V59" s="21">
        <f t="shared" si="1"/>
        <v>118</v>
      </c>
      <c r="W59" s="22">
        <f>'PLANO DE SAÚDE'!C60</f>
        <v>15051</v>
      </c>
    </row>
    <row r="60" spans="1:23" s="20" customFormat="1" x14ac:dyDescent="0.3">
      <c r="A60" s="20" t="s">
        <v>16</v>
      </c>
      <c r="B60" s="21">
        <f t="shared" si="0"/>
        <v>119</v>
      </c>
      <c r="C60" s="21">
        <v>1</v>
      </c>
      <c r="D60" s="22" t="s">
        <v>17</v>
      </c>
      <c r="E60" s="23">
        <v>8.0399999999999991</v>
      </c>
      <c r="F60" s="22" t="s">
        <v>18</v>
      </c>
      <c r="G60" s="24">
        <v>46265</v>
      </c>
      <c r="H60" s="21">
        <v>1</v>
      </c>
      <c r="I60" s="22" t="s">
        <v>19</v>
      </c>
      <c r="K60" s="20">
        <v>101</v>
      </c>
      <c r="L60" s="22" t="s">
        <v>447</v>
      </c>
      <c r="M60" s="22">
        <v>1</v>
      </c>
      <c r="N60" s="22">
        <v>31550109</v>
      </c>
      <c r="O60" s="25" t="s">
        <v>507</v>
      </c>
      <c r="Q60" s="22" t="s">
        <v>20</v>
      </c>
      <c r="R60" s="22" t="s">
        <v>18</v>
      </c>
      <c r="S60" s="20">
        <v>31111</v>
      </c>
      <c r="T60" s="21">
        <v>19000</v>
      </c>
      <c r="U60" s="22" t="s">
        <v>657</v>
      </c>
      <c r="V60" s="21">
        <f t="shared" si="1"/>
        <v>120</v>
      </c>
      <c r="W60" s="22">
        <f>'PLANO DE SAÚDE'!C61</f>
        <v>31060</v>
      </c>
    </row>
    <row r="61" spans="1:23" s="20" customFormat="1" x14ac:dyDescent="0.3">
      <c r="A61" s="20" t="s">
        <v>16</v>
      </c>
      <c r="B61" s="21">
        <f t="shared" si="0"/>
        <v>121</v>
      </c>
      <c r="C61" s="21">
        <v>1</v>
      </c>
      <c r="D61" s="22" t="s">
        <v>17</v>
      </c>
      <c r="E61" s="23">
        <v>32.159999999999997</v>
      </c>
      <c r="F61" s="22" t="s">
        <v>18</v>
      </c>
      <c r="G61" s="24">
        <v>46265</v>
      </c>
      <c r="H61" s="21">
        <v>1</v>
      </c>
      <c r="I61" s="22" t="s">
        <v>19</v>
      </c>
      <c r="K61" s="20">
        <v>101</v>
      </c>
      <c r="L61" s="22" t="s">
        <v>447</v>
      </c>
      <c r="M61" s="22">
        <v>1</v>
      </c>
      <c r="N61" s="22">
        <v>31550109</v>
      </c>
      <c r="O61" s="25" t="s">
        <v>508</v>
      </c>
      <c r="Q61" s="22" t="s">
        <v>20</v>
      </c>
      <c r="R61" s="22" t="s">
        <v>18</v>
      </c>
      <c r="S61" s="20">
        <v>31114</v>
      </c>
      <c r="T61" s="21">
        <v>19000</v>
      </c>
      <c r="U61" s="22" t="s">
        <v>657</v>
      </c>
      <c r="V61" s="21">
        <f t="shared" si="1"/>
        <v>122</v>
      </c>
      <c r="W61" s="22">
        <f>'PLANO DE SAÚDE'!C62</f>
        <v>31070</v>
      </c>
    </row>
    <row r="62" spans="1:23" s="20" customFormat="1" x14ac:dyDescent="0.3">
      <c r="A62" s="20" t="s">
        <v>16</v>
      </c>
      <c r="B62" s="21">
        <f t="shared" si="0"/>
        <v>123</v>
      </c>
      <c r="C62" s="21">
        <v>1</v>
      </c>
      <c r="D62" s="22" t="s">
        <v>17</v>
      </c>
      <c r="E62" s="23">
        <v>8.0399999999999991</v>
      </c>
      <c r="F62" s="22" t="s">
        <v>18</v>
      </c>
      <c r="G62" s="24">
        <v>46265</v>
      </c>
      <c r="H62" s="21">
        <v>1</v>
      </c>
      <c r="I62" s="22" t="s">
        <v>19</v>
      </c>
      <c r="K62" s="20">
        <v>101</v>
      </c>
      <c r="L62" s="22" t="s">
        <v>447</v>
      </c>
      <c r="M62" s="22">
        <v>1</v>
      </c>
      <c r="N62" s="22">
        <v>31550109</v>
      </c>
      <c r="O62" s="25" t="s">
        <v>509</v>
      </c>
      <c r="Q62" s="22" t="s">
        <v>20</v>
      </c>
      <c r="R62" s="22" t="s">
        <v>18</v>
      </c>
      <c r="S62" s="20">
        <v>31200</v>
      </c>
      <c r="T62" s="21">
        <v>19000</v>
      </c>
      <c r="U62" s="22" t="s">
        <v>657</v>
      </c>
      <c r="V62" s="21">
        <f t="shared" si="1"/>
        <v>124</v>
      </c>
      <c r="W62" s="22">
        <f>'PLANO DE SAÚDE'!C63</f>
        <v>31111</v>
      </c>
    </row>
    <row r="63" spans="1:23" s="20" customFormat="1" x14ac:dyDescent="0.3">
      <c r="A63" s="20" t="s">
        <v>16</v>
      </c>
      <c r="B63" s="21">
        <f t="shared" si="0"/>
        <v>125</v>
      </c>
      <c r="C63" s="21">
        <v>1</v>
      </c>
      <c r="D63" s="22" t="s">
        <v>17</v>
      </c>
      <c r="E63" s="23">
        <v>230.49</v>
      </c>
      <c r="F63" s="22" t="s">
        <v>18</v>
      </c>
      <c r="G63" s="24">
        <v>46265</v>
      </c>
      <c r="H63" s="21">
        <v>1</v>
      </c>
      <c r="I63" s="22" t="s">
        <v>19</v>
      </c>
      <c r="K63" s="20">
        <v>101</v>
      </c>
      <c r="L63" s="22" t="s">
        <v>447</v>
      </c>
      <c r="M63" s="22">
        <v>1</v>
      </c>
      <c r="N63" s="22">
        <v>31550109</v>
      </c>
      <c r="O63" s="25" t="s">
        <v>510</v>
      </c>
      <c r="Q63" s="22" t="s">
        <v>20</v>
      </c>
      <c r="R63" s="22" t="s">
        <v>18</v>
      </c>
      <c r="S63" s="20" t="s">
        <v>358</v>
      </c>
      <c r="T63" s="21">
        <v>19000</v>
      </c>
      <c r="U63" s="22" t="s">
        <v>657</v>
      </c>
      <c r="V63" s="21">
        <f t="shared" si="1"/>
        <v>126</v>
      </c>
      <c r="W63" s="22">
        <f>'PLANO DE SAÚDE'!C64</f>
        <v>31114</v>
      </c>
    </row>
    <row r="64" spans="1:23" s="20" customFormat="1" x14ac:dyDescent="0.3">
      <c r="A64" s="20" t="s">
        <v>16</v>
      </c>
      <c r="B64" s="21">
        <f t="shared" si="0"/>
        <v>127</v>
      </c>
      <c r="C64" s="21">
        <v>1</v>
      </c>
      <c r="D64" s="22" t="s">
        <v>17</v>
      </c>
      <c r="E64" s="23">
        <v>90.22999999999999</v>
      </c>
      <c r="F64" s="22" t="s">
        <v>18</v>
      </c>
      <c r="G64" s="24">
        <v>46265</v>
      </c>
      <c r="H64" s="21">
        <v>1</v>
      </c>
      <c r="I64" s="22" t="s">
        <v>19</v>
      </c>
      <c r="K64" s="20">
        <v>101</v>
      </c>
      <c r="L64" s="22" t="s">
        <v>447</v>
      </c>
      <c r="M64" s="22">
        <v>1</v>
      </c>
      <c r="N64" s="22">
        <v>31550109</v>
      </c>
      <c r="O64" s="25" t="s">
        <v>511</v>
      </c>
      <c r="Q64" s="22" t="s">
        <v>20</v>
      </c>
      <c r="R64" s="22" t="s">
        <v>18</v>
      </c>
      <c r="S64" s="20" t="s">
        <v>332</v>
      </c>
      <c r="T64" s="21">
        <v>19000</v>
      </c>
      <c r="U64" s="22" t="s">
        <v>657</v>
      </c>
      <c r="V64" s="21">
        <f t="shared" si="1"/>
        <v>128</v>
      </c>
      <c r="W64" s="22">
        <f>'PLANO DE SAÚDE'!C65</f>
        <v>31200</v>
      </c>
    </row>
    <row r="65" spans="1:23" s="20" customFormat="1" x14ac:dyDescent="0.3">
      <c r="A65" s="20" t="s">
        <v>16</v>
      </c>
      <c r="B65" s="21">
        <f t="shared" si="0"/>
        <v>129</v>
      </c>
      <c r="C65" s="21">
        <v>1</v>
      </c>
      <c r="D65" s="22" t="s">
        <v>17</v>
      </c>
      <c r="E65" s="23">
        <v>74.150000000000006</v>
      </c>
      <c r="F65" s="22" t="s">
        <v>18</v>
      </c>
      <c r="G65" s="24">
        <v>46265</v>
      </c>
      <c r="H65" s="21">
        <v>1</v>
      </c>
      <c r="I65" s="22" t="s">
        <v>19</v>
      </c>
      <c r="K65" s="20">
        <v>101</v>
      </c>
      <c r="L65" s="22" t="s">
        <v>447</v>
      </c>
      <c r="M65" s="22">
        <v>1</v>
      </c>
      <c r="N65" s="22">
        <v>31550109</v>
      </c>
      <c r="O65" s="25" t="s">
        <v>512</v>
      </c>
      <c r="Q65" s="22" t="s">
        <v>20</v>
      </c>
      <c r="R65" s="22" t="s">
        <v>18</v>
      </c>
      <c r="S65" s="20" t="s">
        <v>359</v>
      </c>
      <c r="T65" s="21">
        <v>19000</v>
      </c>
      <c r="U65" s="22" t="s">
        <v>657</v>
      </c>
      <c r="V65" s="21">
        <f t="shared" si="1"/>
        <v>130</v>
      </c>
      <c r="W65" s="22" t="str">
        <f>'PLANO DE SAÚDE'!C66</f>
        <v>11011</v>
      </c>
    </row>
    <row r="66" spans="1:23" s="20" customFormat="1" x14ac:dyDescent="0.3">
      <c r="A66" s="20" t="s">
        <v>16</v>
      </c>
      <c r="B66" s="21">
        <f t="shared" si="0"/>
        <v>131</v>
      </c>
      <c r="C66" s="21">
        <v>1</v>
      </c>
      <c r="D66" s="22" t="s">
        <v>17</v>
      </c>
      <c r="E66" s="23">
        <v>64.319999999999993</v>
      </c>
      <c r="F66" s="22" t="s">
        <v>18</v>
      </c>
      <c r="G66" s="24">
        <v>46265</v>
      </c>
      <c r="H66" s="21">
        <v>1</v>
      </c>
      <c r="I66" s="22" t="s">
        <v>19</v>
      </c>
      <c r="K66" s="20">
        <v>101</v>
      </c>
      <c r="L66" s="22" t="s">
        <v>447</v>
      </c>
      <c r="M66" s="22">
        <v>1</v>
      </c>
      <c r="N66" s="22">
        <v>31550109</v>
      </c>
      <c r="O66" s="25" t="s">
        <v>513</v>
      </c>
      <c r="Q66" s="22" t="s">
        <v>20</v>
      </c>
      <c r="R66" s="22" t="s">
        <v>18</v>
      </c>
      <c r="S66" s="20" t="s">
        <v>333</v>
      </c>
      <c r="T66" s="21">
        <v>19000</v>
      </c>
      <c r="U66" s="22" t="s">
        <v>657</v>
      </c>
      <c r="V66" s="21">
        <f t="shared" si="1"/>
        <v>132</v>
      </c>
      <c r="W66" s="22" t="str">
        <f>'PLANO DE SAÚDE'!C67</f>
        <v>11012</v>
      </c>
    </row>
    <row r="67" spans="1:23" s="20" customFormat="1" x14ac:dyDescent="0.3">
      <c r="A67" s="20" t="s">
        <v>16</v>
      </c>
      <c r="B67" s="21">
        <f t="shared" ref="B67:B130" si="2">B66+2</f>
        <v>133</v>
      </c>
      <c r="C67" s="21">
        <v>1</v>
      </c>
      <c r="D67" s="22" t="s">
        <v>17</v>
      </c>
      <c r="E67" s="23">
        <v>16.079999999999998</v>
      </c>
      <c r="F67" s="22" t="s">
        <v>18</v>
      </c>
      <c r="G67" s="24">
        <v>46265</v>
      </c>
      <c r="H67" s="21">
        <v>1</v>
      </c>
      <c r="I67" s="22" t="s">
        <v>19</v>
      </c>
      <c r="K67" s="20">
        <v>101</v>
      </c>
      <c r="L67" s="22" t="s">
        <v>447</v>
      </c>
      <c r="M67" s="22">
        <v>1</v>
      </c>
      <c r="N67" s="22">
        <v>31550109</v>
      </c>
      <c r="O67" s="25" t="s">
        <v>514</v>
      </c>
      <c r="Q67" s="22" t="s">
        <v>20</v>
      </c>
      <c r="R67" s="22" t="s">
        <v>18</v>
      </c>
      <c r="S67" s="20" t="s">
        <v>334</v>
      </c>
      <c r="T67" s="21">
        <v>19000</v>
      </c>
      <c r="U67" s="22" t="s">
        <v>657</v>
      </c>
      <c r="V67" s="21">
        <f t="shared" ref="V67:V130" si="3">V66+2</f>
        <v>134</v>
      </c>
      <c r="W67" s="22" t="str">
        <f>'PLANO DE SAÚDE'!C68</f>
        <v>11013</v>
      </c>
    </row>
    <row r="68" spans="1:23" s="20" customFormat="1" x14ac:dyDescent="0.3">
      <c r="A68" s="20" t="s">
        <v>16</v>
      </c>
      <c r="B68" s="21">
        <f t="shared" si="2"/>
        <v>135</v>
      </c>
      <c r="C68" s="21">
        <v>1</v>
      </c>
      <c r="D68" s="22" t="s">
        <v>17</v>
      </c>
      <c r="E68" s="23">
        <v>128.32999999999998</v>
      </c>
      <c r="F68" s="22" t="s">
        <v>18</v>
      </c>
      <c r="G68" s="24">
        <v>46265</v>
      </c>
      <c r="H68" s="21">
        <v>1</v>
      </c>
      <c r="I68" s="22" t="s">
        <v>19</v>
      </c>
      <c r="K68" s="20">
        <v>101</v>
      </c>
      <c r="L68" s="22" t="s">
        <v>447</v>
      </c>
      <c r="M68" s="22">
        <v>1</v>
      </c>
      <c r="N68" s="22">
        <v>31550109</v>
      </c>
      <c r="O68" s="25" t="s">
        <v>515</v>
      </c>
      <c r="Q68" s="22" t="s">
        <v>20</v>
      </c>
      <c r="R68" s="22" t="s">
        <v>18</v>
      </c>
      <c r="S68" s="20" t="s">
        <v>335</v>
      </c>
      <c r="T68" s="21">
        <v>19000</v>
      </c>
      <c r="U68" s="22" t="s">
        <v>657</v>
      </c>
      <c r="V68" s="21">
        <f t="shared" si="3"/>
        <v>136</v>
      </c>
      <c r="W68" s="22" t="str">
        <f>'PLANO DE SAÚDE'!C69</f>
        <v>13011</v>
      </c>
    </row>
    <row r="69" spans="1:23" s="20" customFormat="1" x14ac:dyDescent="0.3">
      <c r="A69" s="20" t="s">
        <v>16</v>
      </c>
      <c r="B69" s="21">
        <f t="shared" si="2"/>
        <v>137</v>
      </c>
      <c r="C69" s="21">
        <v>1</v>
      </c>
      <c r="D69" s="22" t="s">
        <v>17</v>
      </c>
      <c r="E69" s="23">
        <v>40.199999999999996</v>
      </c>
      <c r="F69" s="22" t="s">
        <v>18</v>
      </c>
      <c r="G69" s="24">
        <v>46265</v>
      </c>
      <c r="H69" s="21">
        <v>1</v>
      </c>
      <c r="I69" s="22" t="s">
        <v>19</v>
      </c>
      <c r="K69" s="20">
        <v>101</v>
      </c>
      <c r="L69" s="22" t="s">
        <v>447</v>
      </c>
      <c r="M69" s="22">
        <v>1</v>
      </c>
      <c r="N69" s="22">
        <v>31550109</v>
      </c>
      <c r="O69" s="25" t="s">
        <v>516</v>
      </c>
      <c r="Q69" s="22" t="s">
        <v>20</v>
      </c>
      <c r="R69" s="22" t="s">
        <v>18</v>
      </c>
      <c r="S69" s="20" t="s">
        <v>336</v>
      </c>
      <c r="T69" s="21">
        <v>19000</v>
      </c>
      <c r="U69" s="22" t="s">
        <v>657</v>
      </c>
      <c r="V69" s="21">
        <f t="shared" si="3"/>
        <v>138</v>
      </c>
      <c r="W69" s="22" t="str">
        <f>'PLANO DE SAÚDE'!C70</f>
        <v>13012</v>
      </c>
    </row>
    <row r="70" spans="1:23" s="20" customFormat="1" x14ac:dyDescent="0.3">
      <c r="A70" s="20" t="s">
        <v>16</v>
      </c>
      <c r="B70" s="21">
        <f t="shared" si="2"/>
        <v>139</v>
      </c>
      <c r="C70" s="21">
        <v>1</v>
      </c>
      <c r="D70" s="22" t="s">
        <v>17</v>
      </c>
      <c r="E70" s="23">
        <v>40.199999999999996</v>
      </c>
      <c r="F70" s="22" t="s">
        <v>18</v>
      </c>
      <c r="G70" s="24">
        <v>46265</v>
      </c>
      <c r="H70" s="21">
        <v>1</v>
      </c>
      <c r="I70" s="22" t="s">
        <v>19</v>
      </c>
      <c r="K70" s="20">
        <v>101</v>
      </c>
      <c r="L70" s="22" t="s">
        <v>447</v>
      </c>
      <c r="M70" s="22">
        <v>1</v>
      </c>
      <c r="N70" s="22">
        <v>31550109</v>
      </c>
      <c r="O70" s="25" t="s">
        <v>517</v>
      </c>
      <c r="Q70" s="22" t="s">
        <v>20</v>
      </c>
      <c r="R70" s="22" t="s">
        <v>18</v>
      </c>
      <c r="S70" s="20" t="s">
        <v>337</v>
      </c>
      <c r="T70" s="21">
        <v>19000</v>
      </c>
      <c r="U70" s="22" t="s">
        <v>657</v>
      </c>
      <c r="V70" s="21">
        <f t="shared" si="3"/>
        <v>140</v>
      </c>
      <c r="W70" s="22" t="str">
        <f>'PLANO DE SAÚDE'!C71</f>
        <v>13013</v>
      </c>
    </row>
    <row r="71" spans="1:23" s="20" customFormat="1" x14ac:dyDescent="0.3">
      <c r="A71" s="20" t="s">
        <v>16</v>
      </c>
      <c r="B71" s="21">
        <f t="shared" si="2"/>
        <v>141</v>
      </c>
      <c r="C71" s="21">
        <v>1</v>
      </c>
      <c r="D71" s="22" t="s">
        <v>17</v>
      </c>
      <c r="E71" s="23">
        <v>32.159999999999997</v>
      </c>
      <c r="F71" s="22" t="s">
        <v>18</v>
      </c>
      <c r="G71" s="24">
        <v>46265</v>
      </c>
      <c r="H71" s="21">
        <v>1</v>
      </c>
      <c r="I71" s="22" t="s">
        <v>19</v>
      </c>
      <c r="K71" s="20">
        <v>101</v>
      </c>
      <c r="L71" s="22" t="s">
        <v>447</v>
      </c>
      <c r="M71" s="22">
        <v>1</v>
      </c>
      <c r="N71" s="22">
        <v>31550109</v>
      </c>
      <c r="O71" s="25" t="s">
        <v>518</v>
      </c>
      <c r="Q71" s="22" t="s">
        <v>20</v>
      </c>
      <c r="R71" s="22" t="s">
        <v>18</v>
      </c>
      <c r="S71" s="20" t="s">
        <v>400</v>
      </c>
      <c r="T71" s="21">
        <v>19000</v>
      </c>
      <c r="U71" s="22" t="s">
        <v>657</v>
      </c>
      <c r="V71" s="21">
        <f t="shared" si="3"/>
        <v>142</v>
      </c>
      <c r="W71" s="22" t="str">
        <f>'PLANO DE SAÚDE'!C72</f>
        <v>13014</v>
      </c>
    </row>
    <row r="72" spans="1:23" s="20" customFormat="1" x14ac:dyDescent="0.3">
      <c r="A72" s="20" t="s">
        <v>16</v>
      </c>
      <c r="B72" s="21">
        <f t="shared" si="2"/>
        <v>143</v>
      </c>
      <c r="C72" s="21">
        <v>1</v>
      </c>
      <c r="D72" s="22" t="s">
        <v>17</v>
      </c>
      <c r="E72" s="23">
        <v>24.119999999999997</v>
      </c>
      <c r="F72" s="22" t="s">
        <v>18</v>
      </c>
      <c r="G72" s="24">
        <v>46265</v>
      </c>
      <c r="H72" s="21">
        <v>1</v>
      </c>
      <c r="I72" s="22" t="s">
        <v>19</v>
      </c>
      <c r="K72" s="20">
        <v>101</v>
      </c>
      <c r="L72" s="22" t="s">
        <v>447</v>
      </c>
      <c r="M72" s="22">
        <v>1</v>
      </c>
      <c r="N72" s="22">
        <v>31550109</v>
      </c>
      <c r="O72" s="25" t="s">
        <v>519</v>
      </c>
      <c r="Q72" s="22" t="s">
        <v>20</v>
      </c>
      <c r="R72" s="22" t="s">
        <v>18</v>
      </c>
      <c r="S72" s="20" t="s">
        <v>338</v>
      </c>
      <c r="T72" s="21">
        <v>19000</v>
      </c>
      <c r="U72" s="22" t="s">
        <v>657</v>
      </c>
      <c r="V72" s="21">
        <f t="shared" si="3"/>
        <v>144</v>
      </c>
      <c r="W72" s="22" t="str">
        <f>'PLANO DE SAÚDE'!C73</f>
        <v>13016</v>
      </c>
    </row>
    <row r="73" spans="1:23" s="20" customFormat="1" x14ac:dyDescent="0.3">
      <c r="A73" s="20" t="s">
        <v>16</v>
      </c>
      <c r="B73" s="21">
        <f t="shared" si="2"/>
        <v>145</v>
      </c>
      <c r="C73" s="21">
        <v>1</v>
      </c>
      <c r="D73" s="22" t="s">
        <v>17</v>
      </c>
      <c r="E73" s="23">
        <v>24.119999999999997</v>
      </c>
      <c r="F73" s="22" t="s">
        <v>18</v>
      </c>
      <c r="G73" s="24">
        <v>46265</v>
      </c>
      <c r="H73" s="21">
        <v>1</v>
      </c>
      <c r="I73" s="22" t="s">
        <v>19</v>
      </c>
      <c r="K73" s="20">
        <v>101</v>
      </c>
      <c r="L73" s="22" t="s">
        <v>447</v>
      </c>
      <c r="M73" s="22">
        <v>1</v>
      </c>
      <c r="N73" s="22">
        <v>31550109</v>
      </c>
      <c r="O73" s="25" t="s">
        <v>520</v>
      </c>
      <c r="Q73" s="22" t="s">
        <v>20</v>
      </c>
      <c r="R73" s="22" t="s">
        <v>18</v>
      </c>
      <c r="S73" s="20" t="s">
        <v>401</v>
      </c>
      <c r="T73" s="21">
        <v>19000</v>
      </c>
      <c r="U73" s="22" t="s">
        <v>657</v>
      </c>
      <c r="V73" s="21">
        <f t="shared" si="3"/>
        <v>146</v>
      </c>
      <c r="W73" s="22" t="str">
        <f>'PLANO DE SAÚDE'!C74</f>
        <v>13017</v>
      </c>
    </row>
    <row r="74" spans="1:23" s="20" customFormat="1" x14ac:dyDescent="0.3">
      <c r="A74" s="20" t="s">
        <v>16</v>
      </c>
      <c r="B74" s="21">
        <f t="shared" si="2"/>
        <v>147</v>
      </c>
      <c r="C74" s="21">
        <v>1</v>
      </c>
      <c r="D74" s="22" t="s">
        <v>17</v>
      </c>
      <c r="E74" s="23">
        <v>64.319999999999993</v>
      </c>
      <c r="F74" s="22" t="s">
        <v>18</v>
      </c>
      <c r="G74" s="24">
        <v>46265</v>
      </c>
      <c r="H74" s="21">
        <v>1</v>
      </c>
      <c r="I74" s="22" t="s">
        <v>19</v>
      </c>
      <c r="K74" s="20">
        <v>101</v>
      </c>
      <c r="L74" s="22" t="s">
        <v>447</v>
      </c>
      <c r="M74" s="22">
        <v>1</v>
      </c>
      <c r="N74" s="22">
        <v>31550109</v>
      </c>
      <c r="O74" s="25" t="s">
        <v>521</v>
      </c>
      <c r="Q74" s="22" t="s">
        <v>20</v>
      </c>
      <c r="R74" s="22" t="s">
        <v>18</v>
      </c>
      <c r="S74" s="20" t="s">
        <v>402</v>
      </c>
      <c r="T74" s="21">
        <v>19000</v>
      </c>
      <c r="U74" s="22" t="s">
        <v>657</v>
      </c>
      <c r="V74" s="21">
        <f t="shared" si="3"/>
        <v>148</v>
      </c>
      <c r="W74" s="22" t="str">
        <f>'PLANO DE SAÚDE'!C75</f>
        <v>13018</v>
      </c>
    </row>
    <row r="75" spans="1:23" s="20" customFormat="1" x14ac:dyDescent="0.3">
      <c r="A75" s="20" t="s">
        <v>16</v>
      </c>
      <c r="B75" s="21">
        <f t="shared" si="2"/>
        <v>149</v>
      </c>
      <c r="C75" s="21">
        <v>1</v>
      </c>
      <c r="D75" s="22" t="s">
        <v>17</v>
      </c>
      <c r="E75" s="23">
        <v>72.359999999999985</v>
      </c>
      <c r="F75" s="22" t="s">
        <v>18</v>
      </c>
      <c r="G75" s="24">
        <v>46265</v>
      </c>
      <c r="H75" s="21">
        <v>1</v>
      </c>
      <c r="I75" s="22" t="s">
        <v>19</v>
      </c>
      <c r="K75" s="20">
        <v>101</v>
      </c>
      <c r="L75" s="22" t="s">
        <v>447</v>
      </c>
      <c r="M75" s="22">
        <v>1</v>
      </c>
      <c r="N75" s="22">
        <v>31550109</v>
      </c>
      <c r="O75" s="25" t="s">
        <v>522</v>
      </c>
      <c r="Q75" s="22" t="s">
        <v>20</v>
      </c>
      <c r="R75" s="22" t="s">
        <v>18</v>
      </c>
      <c r="S75" s="20" t="s">
        <v>339</v>
      </c>
      <c r="T75" s="21">
        <v>19000</v>
      </c>
      <c r="U75" s="22" t="s">
        <v>657</v>
      </c>
      <c r="V75" s="21">
        <f t="shared" si="3"/>
        <v>150</v>
      </c>
      <c r="W75" s="22" t="str">
        <f>'PLANO DE SAÚDE'!C76</f>
        <v>13019</v>
      </c>
    </row>
    <row r="76" spans="1:23" s="20" customFormat="1" x14ac:dyDescent="0.3">
      <c r="A76" s="20" t="s">
        <v>16</v>
      </c>
      <c r="B76" s="21">
        <f t="shared" si="2"/>
        <v>151</v>
      </c>
      <c r="C76" s="21">
        <v>1</v>
      </c>
      <c r="D76" s="22" t="s">
        <v>17</v>
      </c>
      <c r="E76" s="23">
        <v>56.279999999999994</v>
      </c>
      <c r="F76" s="22" t="s">
        <v>18</v>
      </c>
      <c r="G76" s="24">
        <v>46265</v>
      </c>
      <c r="H76" s="21">
        <v>1</v>
      </c>
      <c r="I76" s="22" t="s">
        <v>19</v>
      </c>
      <c r="K76" s="20">
        <v>101</v>
      </c>
      <c r="L76" s="22" t="s">
        <v>447</v>
      </c>
      <c r="M76" s="22">
        <v>1</v>
      </c>
      <c r="N76" s="22">
        <v>31550109</v>
      </c>
      <c r="O76" s="25" t="s">
        <v>523</v>
      </c>
      <c r="Q76" s="22" t="s">
        <v>20</v>
      </c>
      <c r="R76" s="22" t="s">
        <v>18</v>
      </c>
      <c r="S76" s="20" t="s">
        <v>360</v>
      </c>
      <c r="T76" s="21">
        <v>19000</v>
      </c>
      <c r="U76" s="22" t="s">
        <v>657</v>
      </c>
      <c r="V76" s="21">
        <f t="shared" si="3"/>
        <v>152</v>
      </c>
      <c r="W76" s="22" t="str">
        <f>'PLANO DE SAÚDE'!C77</f>
        <v>13021</v>
      </c>
    </row>
    <row r="77" spans="1:23" s="20" customFormat="1" x14ac:dyDescent="0.3">
      <c r="A77" s="20" t="s">
        <v>16</v>
      </c>
      <c r="B77" s="21">
        <f t="shared" si="2"/>
        <v>153</v>
      </c>
      <c r="C77" s="21">
        <v>1</v>
      </c>
      <c r="D77" s="22" t="s">
        <v>17</v>
      </c>
      <c r="E77" s="23">
        <v>72.359999999999985</v>
      </c>
      <c r="F77" s="22" t="s">
        <v>18</v>
      </c>
      <c r="G77" s="24">
        <v>46265</v>
      </c>
      <c r="H77" s="21">
        <v>1</v>
      </c>
      <c r="I77" s="22" t="s">
        <v>19</v>
      </c>
      <c r="K77" s="20">
        <v>101</v>
      </c>
      <c r="L77" s="22" t="s">
        <v>447</v>
      </c>
      <c r="M77" s="22">
        <v>1</v>
      </c>
      <c r="N77" s="22">
        <v>31550109</v>
      </c>
      <c r="O77" s="25" t="s">
        <v>524</v>
      </c>
      <c r="Q77" s="22" t="s">
        <v>20</v>
      </c>
      <c r="R77" s="22" t="s">
        <v>18</v>
      </c>
      <c r="S77" s="20" t="s">
        <v>340</v>
      </c>
      <c r="T77" s="21">
        <v>19000</v>
      </c>
      <c r="U77" s="22" t="s">
        <v>657</v>
      </c>
      <c r="V77" s="21">
        <f t="shared" si="3"/>
        <v>154</v>
      </c>
      <c r="W77" s="22" t="str">
        <f>'PLANO DE SAÚDE'!C78</f>
        <v>14012</v>
      </c>
    </row>
    <row r="78" spans="1:23" s="20" customFormat="1" x14ac:dyDescent="0.3">
      <c r="A78" s="20" t="s">
        <v>16</v>
      </c>
      <c r="B78" s="21">
        <f t="shared" si="2"/>
        <v>155</v>
      </c>
      <c r="C78" s="21">
        <v>1</v>
      </c>
      <c r="D78" s="22" t="s">
        <v>17</v>
      </c>
      <c r="E78" s="23">
        <v>24.119999999999997</v>
      </c>
      <c r="F78" s="22" t="s">
        <v>18</v>
      </c>
      <c r="G78" s="24">
        <v>46265</v>
      </c>
      <c r="H78" s="21">
        <v>1</v>
      </c>
      <c r="I78" s="22" t="s">
        <v>19</v>
      </c>
      <c r="K78" s="20">
        <v>101</v>
      </c>
      <c r="L78" s="22" t="s">
        <v>447</v>
      </c>
      <c r="M78" s="22">
        <v>1</v>
      </c>
      <c r="N78" s="22">
        <v>31550109</v>
      </c>
      <c r="O78" s="25" t="s">
        <v>525</v>
      </c>
      <c r="Q78" s="22" t="s">
        <v>20</v>
      </c>
      <c r="R78" s="22" t="s">
        <v>18</v>
      </c>
      <c r="S78" s="20" t="s">
        <v>341</v>
      </c>
      <c r="T78" s="21">
        <v>19000</v>
      </c>
      <c r="U78" s="22" t="s">
        <v>657</v>
      </c>
      <c r="V78" s="21">
        <f t="shared" si="3"/>
        <v>156</v>
      </c>
      <c r="W78" s="22" t="str">
        <f>'PLANO DE SAÚDE'!C79</f>
        <v>14050</v>
      </c>
    </row>
    <row r="79" spans="1:23" s="20" customFormat="1" x14ac:dyDescent="0.3">
      <c r="A79" s="20" t="s">
        <v>16</v>
      </c>
      <c r="B79" s="21">
        <f t="shared" si="2"/>
        <v>157</v>
      </c>
      <c r="C79" s="21">
        <v>1</v>
      </c>
      <c r="D79" s="22" t="s">
        <v>17</v>
      </c>
      <c r="E79" s="23">
        <v>112.55999999999995</v>
      </c>
      <c r="F79" s="22" t="s">
        <v>18</v>
      </c>
      <c r="G79" s="24">
        <v>46265</v>
      </c>
      <c r="H79" s="21">
        <v>1</v>
      </c>
      <c r="I79" s="22" t="s">
        <v>19</v>
      </c>
      <c r="K79" s="20">
        <v>101</v>
      </c>
      <c r="L79" s="22" t="s">
        <v>447</v>
      </c>
      <c r="M79" s="22">
        <v>1</v>
      </c>
      <c r="N79" s="22">
        <v>31550109</v>
      </c>
      <c r="O79" s="25" t="s">
        <v>526</v>
      </c>
      <c r="Q79" s="22" t="s">
        <v>20</v>
      </c>
      <c r="R79" s="22" t="s">
        <v>18</v>
      </c>
      <c r="S79" s="20" t="s">
        <v>361</v>
      </c>
      <c r="T79" s="21">
        <v>19000</v>
      </c>
      <c r="U79" s="22" t="s">
        <v>657</v>
      </c>
      <c r="V79" s="21">
        <f t="shared" si="3"/>
        <v>158</v>
      </c>
      <c r="W79" s="22" t="str">
        <f>'PLANO DE SAÚDE'!C80</f>
        <v>14051</v>
      </c>
    </row>
    <row r="80" spans="1:23" s="20" customFormat="1" x14ac:dyDescent="0.3">
      <c r="A80" s="20" t="s">
        <v>16</v>
      </c>
      <c r="B80" s="21">
        <f t="shared" si="2"/>
        <v>159</v>
      </c>
      <c r="C80" s="21">
        <v>1</v>
      </c>
      <c r="D80" s="22" t="s">
        <v>17</v>
      </c>
      <c r="E80" s="23">
        <v>24.119999999999997</v>
      </c>
      <c r="F80" s="22" t="s">
        <v>18</v>
      </c>
      <c r="G80" s="24">
        <v>46265</v>
      </c>
      <c r="H80" s="21">
        <v>1</v>
      </c>
      <c r="I80" s="22" t="s">
        <v>19</v>
      </c>
      <c r="K80" s="20">
        <v>101</v>
      </c>
      <c r="L80" s="22" t="s">
        <v>447</v>
      </c>
      <c r="M80" s="22">
        <v>1</v>
      </c>
      <c r="N80" s="22">
        <v>31550109</v>
      </c>
      <c r="O80" s="25" t="s">
        <v>527</v>
      </c>
      <c r="Q80" s="22" t="s">
        <v>20</v>
      </c>
      <c r="R80" s="22" t="s">
        <v>18</v>
      </c>
      <c r="S80" s="20" t="s">
        <v>342</v>
      </c>
      <c r="T80" s="21">
        <v>19000</v>
      </c>
      <c r="U80" s="22" t="s">
        <v>657</v>
      </c>
      <c r="V80" s="21">
        <f t="shared" si="3"/>
        <v>160</v>
      </c>
      <c r="W80" s="22" t="str">
        <f>'PLANO DE SAÚDE'!C81</f>
        <v>14052</v>
      </c>
    </row>
    <row r="81" spans="1:23" s="20" customFormat="1" x14ac:dyDescent="0.3">
      <c r="A81" s="20" t="s">
        <v>16</v>
      </c>
      <c r="B81" s="21">
        <f t="shared" si="2"/>
        <v>161</v>
      </c>
      <c r="C81" s="21">
        <v>1</v>
      </c>
      <c r="D81" s="22" t="s">
        <v>17</v>
      </c>
      <c r="E81" s="23">
        <v>62.219999999999992</v>
      </c>
      <c r="F81" s="22" t="s">
        <v>18</v>
      </c>
      <c r="G81" s="24">
        <v>46265</v>
      </c>
      <c r="H81" s="21">
        <v>1</v>
      </c>
      <c r="I81" s="22" t="s">
        <v>19</v>
      </c>
      <c r="K81" s="20">
        <v>101</v>
      </c>
      <c r="L81" s="22" t="s">
        <v>447</v>
      </c>
      <c r="M81" s="22">
        <v>1</v>
      </c>
      <c r="N81" s="22">
        <v>31550109</v>
      </c>
      <c r="O81" s="25" t="s">
        <v>528</v>
      </c>
      <c r="Q81" s="22" t="s">
        <v>20</v>
      </c>
      <c r="R81" s="22" t="s">
        <v>18</v>
      </c>
      <c r="S81" s="20" t="s">
        <v>343</v>
      </c>
      <c r="T81" s="21">
        <v>19000</v>
      </c>
      <c r="U81" s="22" t="s">
        <v>657</v>
      </c>
      <c r="V81" s="21">
        <f t="shared" si="3"/>
        <v>162</v>
      </c>
      <c r="W81" s="22" t="str">
        <f>'PLANO DE SAÚDE'!C82</f>
        <v>14056</v>
      </c>
    </row>
    <row r="82" spans="1:23" s="20" customFormat="1" x14ac:dyDescent="0.3">
      <c r="A82" s="20" t="s">
        <v>16</v>
      </c>
      <c r="B82" s="21">
        <f t="shared" si="2"/>
        <v>163</v>
      </c>
      <c r="C82" s="21">
        <v>1</v>
      </c>
      <c r="D82" s="22" t="s">
        <v>17</v>
      </c>
      <c r="E82" s="23">
        <v>217.07999999999984</v>
      </c>
      <c r="F82" s="22" t="s">
        <v>18</v>
      </c>
      <c r="G82" s="24">
        <v>46265</v>
      </c>
      <c r="H82" s="21">
        <v>1</v>
      </c>
      <c r="I82" s="22" t="s">
        <v>19</v>
      </c>
      <c r="K82" s="20">
        <v>101</v>
      </c>
      <c r="L82" s="22" t="s">
        <v>447</v>
      </c>
      <c r="M82" s="22">
        <v>1</v>
      </c>
      <c r="N82" s="22">
        <v>31550109</v>
      </c>
      <c r="O82" s="25" t="s">
        <v>529</v>
      </c>
      <c r="Q82" s="22" t="s">
        <v>20</v>
      </c>
      <c r="R82" s="22" t="s">
        <v>18</v>
      </c>
      <c r="S82" s="20" t="s">
        <v>410</v>
      </c>
      <c r="T82" s="21">
        <v>19000</v>
      </c>
      <c r="U82" s="22" t="s">
        <v>657</v>
      </c>
      <c r="V82" s="21">
        <f t="shared" si="3"/>
        <v>164</v>
      </c>
      <c r="W82" s="22" t="str">
        <f>'PLANO DE SAÚDE'!C83</f>
        <v>14058</v>
      </c>
    </row>
    <row r="83" spans="1:23" s="20" customFormat="1" x14ac:dyDescent="0.3">
      <c r="A83" s="20" t="s">
        <v>16</v>
      </c>
      <c r="B83" s="21">
        <f t="shared" si="2"/>
        <v>165</v>
      </c>
      <c r="C83" s="21">
        <v>1</v>
      </c>
      <c r="D83" s="22" t="s">
        <v>17</v>
      </c>
      <c r="E83" s="23">
        <v>168.83999999999989</v>
      </c>
      <c r="F83" s="22" t="s">
        <v>18</v>
      </c>
      <c r="G83" s="24">
        <v>46265</v>
      </c>
      <c r="H83" s="21">
        <v>1</v>
      </c>
      <c r="I83" s="22" t="s">
        <v>19</v>
      </c>
      <c r="K83" s="20">
        <v>101</v>
      </c>
      <c r="L83" s="22" t="s">
        <v>447</v>
      </c>
      <c r="M83" s="22">
        <v>1</v>
      </c>
      <c r="N83" s="22">
        <v>31550109</v>
      </c>
      <c r="O83" s="25" t="s">
        <v>530</v>
      </c>
      <c r="Q83" s="22" t="s">
        <v>20</v>
      </c>
      <c r="R83" s="22" t="s">
        <v>18</v>
      </c>
      <c r="S83" s="20" t="s">
        <v>403</v>
      </c>
      <c r="T83" s="21">
        <v>19000</v>
      </c>
      <c r="U83" s="22" t="s">
        <v>657</v>
      </c>
      <c r="V83" s="21">
        <f t="shared" si="3"/>
        <v>166</v>
      </c>
      <c r="W83" s="22" t="str">
        <f>'PLANO DE SAÚDE'!C84</f>
        <v>15012</v>
      </c>
    </row>
    <row r="84" spans="1:23" s="20" customFormat="1" x14ac:dyDescent="0.3">
      <c r="A84" s="20" t="s">
        <v>16</v>
      </c>
      <c r="B84" s="21">
        <f t="shared" si="2"/>
        <v>167</v>
      </c>
      <c r="C84" s="21">
        <v>1</v>
      </c>
      <c r="D84" s="22" t="s">
        <v>17</v>
      </c>
      <c r="E84" s="23">
        <v>72.359999999999985</v>
      </c>
      <c r="F84" s="22" t="s">
        <v>18</v>
      </c>
      <c r="G84" s="24">
        <v>46265</v>
      </c>
      <c r="H84" s="21">
        <v>1</v>
      </c>
      <c r="I84" s="22" t="s">
        <v>19</v>
      </c>
      <c r="K84" s="20">
        <v>101</v>
      </c>
      <c r="L84" s="22" t="s">
        <v>447</v>
      </c>
      <c r="M84" s="22">
        <v>1</v>
      </c>
      <c r="N84" s="22">
        <v>31550109</v>
      </c>
      <c r="O84" s="25" t="s">
        <v>531</v>
      </c>
      <c r="Q84" s="22" t="s">
        <v>20</v>
      </c>
      <c r="R84" s="22" t="s">
        <v>18</v>
      </c>
      <c r="S84" s="20" t="s">
        <v>344</v>
      </c>
      <c r="T84" s="21">
        <v>19000</v>
      </c>
      <c r="U84" s="22" t="s">
        <v>657</v>
      </c>
      <c r="V84" s="21">
        <f t="shared" si="3"/>
        <v>168</v>
      </c>
      <c r="W84" s="22" t="str">
        <f>'PLANO DE SAÚDE'!C85</f>
        <v>15050</v>
      </c>
    </row>
    <row r="85" spans="1:23" s="20" customFormat="1" x14ac:dyDescent="0.3">
      <c r="A85" s="20" t="s">
        <v>16</v>
      </c>
      <c r="B85" s="21">
        <f t="shared" si="2"/>
        <v>169</v>
      </c>
      <c r="C85" s="21">
        <v>1</v>
      </c>
      <c r="D85" s="22" t="s">
        <v>17</v>
      </c>
      <c r="E85" s="23">
        <v>112.55999999999995</v>
      </c>
      <c r="F85" s="22" t="s">
        <v>18</v>
      </c>
      <c r="G85" s="24">
        <v>46265</v>
      </c>
      <c r="H85" s="21">
        <v>1</v>
      </c>
      <c r="I85" s="22" t="s">
        <v>19</v>
      </c>
      <c r="K85" s="20">
        <v>101</v>
      </c>
      <c r="L85" s="22" t="s">
        <v>447</v>
      </c>
      <c r="M85" s="22">
        <v>1</v>
      </c>
      <c r="N85" s="22">
        <v>31550109</v>
      </c>
      <c r="O85" s="25" t="s">
        <v>532</v>
      </c>
      <c r="Q85" s="22" t="s">
        <v>20</v>
      </c>
      <c r="R85" s="22" t="s">
        <v>18</v>
      </c>
      <c r="S85" s="20" t="s">
        <v>345</v>
      </c>
      <c r="T85" s="21">
        <v>19000</v>
      </c>
      <c r="U85" s="22" t="s">
        <v>657</v>
      </c>
      <c r="V85" s="21">
        <f t="shared" si="3"/>
        <v>170</v>
      </c>
      <c r="W85" s="22" t="str">
        <f>'PLANO DE SAÚDE'!C86</f>
        <v>15051</v>
      </c>
    </row>
    <row r="86" spans="1:23" s="20" customFormat="1" x14ac:dyDescent="0.3">
      <c r="A86" s="20" t="s">
        <v>16</v>
      </c>
      <c r="B86" s="21">
        <f t="shared" si="2"/>
        <v>171</v>
      </c>
      <c r="C86" s="21">
        <v>1</v>
      </c>
      <c r="D86" s="22" t="s">
        <v>17</v>
      </c>
      <c r="E86" s="23">
        <v>24.119999999999997</v>
      </c>
      <c r="F86" s="22" t="s">
        <v>18</v>
      </c>
      <c r="G86" s="24">
        <v>46265</v>
      </c>
      <c r="H86" s="21">
        <v>1</v>
      </c>
      <c r="I86" s="22" t="s">
        <v>19</v>
      </c>
      <c r="K86" s="20">
        <v>101</v>
      </c>
      <c r="L86" s="22" t="s">
        <v>447</v>
      </c>
      <c r="M86" s="22">
        <v>1</v>
      </c>
      <c r="N86" s="22">
        <v>31550109</v>
      </c>
      <c r="O86" s="25" t="s">
        <v>533</v>
      </c>
      <c r="Q86" s="22" t="s">
        <v>20</v>
      </c>
      <c r="R86" s="22" t="s">
        <v>18</v>
      </c>
      <c r="S86" s="20" t="s">
        <v>404</v>
      </c>
      <c r="T86" s="21">
        <v>19000</v>
      </c>
      <c r="U86" s="22" t="s">
        <v>657</v>
      </c>
      <c r="V86" s="21">
        <f t="shared" si="3"/>
        <v>172</v>
      </c>
      <c r="W86" s="22" t="str">
        <f>'PLANO DE SAÚDE'!C87</f>
        <v>21011</v>
      </c>
    </row>
    <row r="87" spans="1:23" s="20" customFormat="1" x14ac:dyDescent="0.3">
      <c r="A87" s="20" t="s">
        <v>16</v>
      </c>
      <c r="B87" s="21">
        <f t="shared" si="2"/>
        <v>173</v>
      </c>
      <c r="C87" s="21">
        <v>1</v>
      </c>
      <c r="D87" s="22" t="s">
        <v>17</v>
      </c>
      <c r="E87" s="23">
        <v>80.399999999999977</v>
      </c>
      <c r="F87" s="22" t="s">
        <v>18</v>
      </c>
      <c r="G87" s="24">
        <v>46265</v>
      </c>
      <c r="H87" s="21">
        <v>1</v>
      </c>
      <c r="I87" s="22" t="s">
        <v>19</v>
      </c>
      <c r="K87" s="20">
        <v>101</v>
      </c>
      <c r="L87" s="22" t="s">
        <v>447</v>
      </c>
      <c r="M87" s="22">
        <v>1</v>
      </c>
      <c r="N87" s="22">
        <v>31550109</v>
      </c>
      <c r="O87" s="25" t="s">
        <v>534</v>
      </c>
      <c r="Q87" s="22" t="s">
        <v>20</v>
      </c>
      <c r="R87" s="22" t="s">
        <v>18</v>
      </c>
      <c r="S87" s="20" t="s">
        <v>346</v>
      </c>
      <c r="T87" s="21">
        <v>19000</v>
      </c>
      <c r="U87" s="22" t="s">
        <v>657</v>
      </c>
      <c r="V87" s="21">
        <f t="shared" si="3"/>
        <v>174</v>
      </c>
      <c r="W87" s="22" t="str">
        <f>'PLANO DE SAÚDE'!C88</f>
        <v>21012</v>
      </c>
    </row>
    <row r="88" spans="1:23" s="20" customFormat="1" x14ac:dyDescent="0.3">
      <c r="A88" s="20" t="s">
        <v>16</v>
      </c>
      <c r="B88" s="21">
        <f t="shared" si="2"/>
        <v>175</v>
      </c>
      <c r="C88" s="21">
        <v>1</v>
      </c>
      <c r="D88" s="22" t="s">
        <v>17</v>
      </c>
      <c r="E88" s="23">
        <v>466.32000000000033</v>
      </c>
      <c r="F88" s="22" t="s">
        <v>18</v>
      </c>
      <c r="G88" s="24">
        <v>46265</v>
      </c>
      <c r="H88" s="21">
        <v>1</v>
      </c>
      <c r="I88" s="22" t="s">
        <v>19</v>
      </c>
      <c r="K88" s="20">
        <v>101</v>
      </c>
      <c r="L88" s="22" t="s">
        <v>447</v>
      </c>
      <c r="M88" s="22">
        <v>1</v>
      </c>
      <c r="N88" s="22">
        <v>31550109</v>
      </c>
      <c r="O88" s="25" t="s">
        <v>535</v>
      </c>
      <c r="Q88" s="22" t="s">
        <v>20</v>
      </c>
      <c r="R88" s="22" t="s">
        <v>18</v>
      </c>
      <c r="S88" s="20" t="s">
        <v>347</v>
      </c>
      <c r="T88" s="21">
        <v>19000</v>
      </c>
      <c r="U88" s="22" t="s">
        <v>657</v>
      </c>
      <c r="V88" s="21">
        <f t="shared" si="3"/>
        <v>176</v>
      </c>
      <c r="W88" s="22" t="str">
        <f>'PLANO DE SAÚDE'!C89</f>
        <v>21013</v>
      </c>
    </row>
    <row r="89" spans="1:23" s="20" customFormat="1" x14ac:dyDescent="0.3">
      <c r="A89" s="20" t="s">
        <v>16</v>
      </c>
      <c r="B89" s="21">
        <f t="shared" si="2"/>
        <v>177</v>
      </c>
      <c r="C89" s="21">
        <v>1</v>
      </c>
      <c r="D89" s="22" t="s">
        <v>17</v>
      </c>
      <c r="E89" s="23">
        <v>104.51999999999995</v>
      </c>
      <c r="F89" s="22" t="s">
        <v>18</v>
      </c>
      <c r="G89" s="24">
        <v>46265</v>
      </c>
      <c r="H89" s="21">
        <v>1</v>
      </c>
      <c r="I89" s="22" t="s">
        <v>19</v>
      </c>
      <c r="K89" s="20">
        <v>101</v>
      </c>
      <c r="L89" s="22" t="s">
        <v>447</v>
      </c>
      <c r="M89" s="22">
        <v>1</v>
      </c>
      <c r="N89" s="22">
        <v>31550109</v>
      </c>
      <c r="O89" s="25" t="s">
        <v>536</v>
      </c>
      <c r="Q89" s="22" t="s">
        <v>20</v>
      </c>
      <c r="R89" s="22" t="s">
        <v>18</v>
      </c>
      <c r="S89" s="20" t="s">
        <v>348</v>
      </c>
      <c r="T89" s="21">
        <v>19000</v>
      </c>
      <c r="U89" s="22" t="s">
        <v>657</v>
      </c>
      <c r="V89" s="21">
        <f t="shared" si="3"/>
        <v>178</v>
      </c>
      <c r="W89" s="22" t="str">
        <f>'PLANO DE SAÚDE'!C90</f>
        <v>31040</v>
      </c>
    </row>
    <row r="90" spans="1:23" s="20" customFormat="1" x14ac:dyDescent="0.3">
      <c r="A90" s="20" t="s">
        <v>16</v>
      </c>
      <c r="B90" s="21">
        <f t="shared" si="2"/>
        <v>179</v>
      </c>
      <c r="C90" s="21">
        <v>1</v>
      </c>
      <c r="D90" s="22" t="s">
        <v>17</v>
      </c>
      <c r="E90" s="23">
        <v>337.68</v>
      </c>
      <c r="F90" s="22" t="s">
        <v>18</v>
      </c>
      <c r="G90" s="24">
        <v>46265</v>
      </c>
      <c r="H90" s="21">
        <v>1</v>
      </c>
      <c r="I90" s="22" t="s">
        <v>19</v>
      </c>
      <c r="K90" s="20">
        <v>101</v>
      </c>
      <c r="L90" s="22" t="s">
        <v>447</v>
      </c>
      <c r="M90" s="22">
        <v>1</v>
      </c>
      <c r="N90" s="22">
        <v>31550109</v>
      </c>
      <c r="O90" s="25" t="s">
        <v>537</v>
      </c>
      <c r="Q90" s="22" t="s">
        <v>20</v>
      </c>
      <c r="R90" s="22" t="s">
        <v>18</v>
      </c>
      <c r="S90" s="20" t="s">
        <v>349</v>
      </c>
      <c r="T90" s="21">
        <v>19000</v>
      </c>
      <c r="U90" s="22" t="s">
        <v>657</v>
      </c>
      <c r="V90" s="21">
        <f t="shared" si="3"/>
        <v>180</v>
      </c>
      <c r="W90" s="22" t="str">
        <f>'PLANO DE SAÚDE'!C91</f>
        <v>31060</v>
      </c>
    </row>
    <row r="91" spans="1:23" s="20" customFormat="1" x14ac:dyDescent="0.3">
      <c r="A91" s="20" t="s">
        <v>16</v>
      </c>
      <c r="B91" s="21">
        <f t="shared" si="2"/>
        <v>181</v>
      </c>
      <c r="C91" s="21">
        <v>1</v>
      </c>
      <c r="D91" s="22" t="s">
        <v>17</v>
      </c>
      <c r="E91" s="23">
        <v>80.399999999999977</v>
      </c>
      <c r="F91" s="22" t="s">
        <v>18</v>
      </c>
      <c r="G91" s="24">
        <v>46265</v>
      </c>
      <c r="H91" s="21">
        <v>1</v>
      </c>
      <c r="I91" s="22" t="s">
        <v>19</v>
      </c>
      <c r="K91" s="20">
        <v>101</v>
      </c>
      <c r="L91" s="22" t="s">
        <v>447</v>
      </c>
      <c r="M91" s="22">
        <v>1</v>
      </c>
      <c r="N91" s="22">
        <v>31550109</v>
      </c>
      <c r="O91" s="25" t="s">
        <v>538</v>
      </c>
      <c r="Q91" s="22" t="s">
        <v>20</v>
      </c>
      <c r="R91" s="22" t="s">
        <v>18</v>
      </c>
      <c r="S91" s="20" t="s">
        <v>405</v>
      </c>
      <c r="T91" s="21">
        <v>19000</v>
      </c>
      <c r="U91" s="22" t="s">
        <v>657</v>
      </c>
      <c r="V91" s="21">
        <f t="shared" si="3"/>
        <v>182</v>
      </c>
      <c r="W91" s="22" t="str">
        <f>'PLANO DE SAÚDE'!C92</f>
        <v>31070</v>
      </c>
    </row>
    <row r="92" spans="1:23" s="20" customFormat="1" x14ac:dyDescent="0.3">
      <c r="A92" s="20" t="s">
        <v>16</v>
      </c>
      <c r="B92" s="21">
        <f t="shared" si="2"/>
        <v>183</v>
      </c>
      <c r="C92" s="21">
        <v>1</v>
      </c>
      <c r="D92" s="22" t="s">
        <v>17</v>
      </c>
      <c r="E92" s="23">
        <v>32.159999999999997</v>
      </c>
      <c r="F92" s="22" t="s">
        <v>18</v>
      </c>
      <c r="G92" s="24">
        <v>46265</v>
      </c>
      <c r="H92" s="21">
        <v>1</v>
      </c>
      <c r="I92" s="22" t="s">
        <v>19</v>
      </c>
      <c r="K92" s="20">
        <v>101</v>
      </c>
      <c r="L92" s="22" t="s">
        <v>447</v>
      </c>
      <c r="M92" s="22">
        <v>1</v>
      </c>
      <c r="N92" s="22">
        <v>31550109</v>
      </c>
      <c r="O92" s="25" t="s">
        <v>539</v>
      </c>
      <c r="Q92" s="22" t="s">
        <v>20</v>
      </c>
      <c r="R92" s="22" t="s">
        <v>18</v>
      </c>
      <c r="S92" s="20" t="s">
        <v>350</v>
      </c>
      <c r="T92" s="21">
        <v>19000</v>
      </c>
      <c r="U92" s="22" t="s">
        <v>657</v>
      </c>
      <c r="V92" s="21">
        <f t="shared" si="3"/>
        <v>184</v>
      </c>
      <c r="W92" s="22" t="str">
        <f>'PLANO DE SAÚDE'!C93</f>
        <v>31090</v>
      </c>
    </row>
    <row r="93" spans="1:23" s="20" customFormat="1" x14ac:dyDescent="0.3">
      <c r="A93" s="20" t="s">
        <v>16</v>
      </c>
      <c r="B93" s="21">
        <f t="shared" si="2"/>
        <v>185</v>
      </c>
      <c r="C93" s="21">
        <v>1</v>
      </c>
      <c r="D93" s="22" t="s">
        <v>17</v>
      </c>
      <c r="E93" s="23">
        <v>48.239999999999995</v>
      </c>
      <c r="F93" s="22" t="s">
        <v>18</v>
      </c>
      <c r="G93" s="24">
        <v>46265</v>
      </c>
      <c r="H93" s="21">
        <v>1</v>
      </c>
      <c r="I93" s="22" t="s">
        <v>19</v>
      </c>
      <c r="K93" s="20">
        <v>101</v>
      </c>
      <c r="L93" s="22" t="s">
        <v>447</v>
      </c>
      <c r="M93" s="22">
        <v>1</v>
      </c>
      <c r="N93" s="22">
        <v>31550109</v>
      </c>
      <c r="O93" s="25" t="s">
        <v>540</v>
      </c>
      <c r="Q93" s="22" t="s">
        <v>20</v>
      </c>
      <c r="R93" s="22" t="s">
        <v>18</v>
      </c>
      <c r="S93" s="20" t="s">
        <v>351</v>
      </c>
      <c r="T93" s="21">
        <v>19000</v>
      </c>
      <c r="U93" s="22" t="s">
        <v>657</v>
      </c>
      <c r="V93" s="21">
        <f t="shared" si="3"/>
        <v>186</v>
      </c>
      <c r="W93" s="22" t="str">
        <f>'PLANO DE SAÚDE'!C94</f>
        <v>31100</v>
      </c>
    </row>
    <row r="94" spans="1:23" s="20" customFormat="1" x14ac:dyDescent="0.3">
      <c r="A94" s="20" t="s">
        <v>16</v>
      </c>
      <c r="B94" s="21">
        <f t="shared" si="2"/>
        <v>187</v>
      </c>
      <c r="C94" s="21">
        <v>1</v>
      </c>
      <c r="D94" s="22" t="s">
        <v>17</v>
      </c>
      <c r="E94" s="23">
        <v>24.119999999999997</v>
      </c>
      <c r="F94" s="22" t="s">
        <v>18</v>
      </c>
      <c r="G94" s="24">
        <v>46265</v>
      </c>
      <c r="H94" s="21">
        <v>1</v>
      </c>
      <c r="I94" s="22" t="s">
        <v>19</v>
      </c>
      <c r="K94" s="20">
        <v>101</v>
      </c>
      <c r="L94" s="22" t="s">
        <v>447</v>
      </c>
      <c r="M94" s="22">
        <v>1</v>
      </c>
      <c r="N94" s="22">
        <v>31550109</v>
      </c>
      <c r="O94" s="25" t="s">
        <v>541</v>
      </c>
      <c r="Q94" s="22" t="s">
        <v>20</v>
      </c>
      <c r="R94" s="22" t="s">
        <v>18</v>
      </c>
      <c r="S94" s="20" t="s">
        <v>364</v>
      </c>
      <c r="T94" s="21">
        <v>19000</v>
      </c>
      <c r="U94" s="22" t="s">
        <v>657</v>
      </c>
      <c r="V94" s="21">
        <f t="shared" si="3"/>
        <v>188</v>
      </c>
      <c r="W94" s="22" t="str">
        <f>'PLANO DE SAÚDE'!C95</f>
        <v>31111</v>
      </c>
    </row>
    <row r="95" spans="1:23" s="20" customFormat="1" x14ac:dyDescent="0.3">
      <c r="A95" s="20" t="s">
        <v>16</v>
      </c>
      <c r="B95" s="21">
        <f t="shared" si="2"/>
        <v>189</v>
      </c>
      <c r="C95" s="21">
        <v>1</v>
      </c>
      <c r="D95" s="22" t="s">
        <v>17</v>
      </c>
      <c r="E95" s="23">
        <v>241.19999999999982</v>
      </c>
      <c r="F95" s="22" t="s">
        <v>18</v>
      </c>
      <c r="G95" s="24">
        <v>46265</v>
      </c>
      <c r="H95" s="21">
        <v>1</v>
      </c>
      <c r="I95" s="22" t="s">
        <v>19</v>
      </c>
      <c r="K95" s="20">
        <v>101</v>
      </c>
      <c r="L95" s="22" t="s">
        <v>447</v>
      </c>
      <c r="M95" s="22">
        <v>1</v>
      </c>
      <c r="N95" s="22">
        <v>31550109</v>
      </c>
      <c r="O95" s="25" t="s">
        <v>542</v>
      </c>
      <c r="Q95" s="22" t="s">
        <v>20</v>
      </c>
      <c r="R95" s="22" t="s">
        <v>18</v>
      </c>
      <c r="S95" s="20" t="s">
        <v>352</v>
      </c>
      <c r="T95" s="21">
        <v>19000</v>
      </c>
      <c r="U95" s="22" t="s">
        <v>657</v>
      </c>
      <c r="V95" s="21">
        <f t="shared" si="3"/>
        <v>190</v>
      </c>
      <c r="W95" s="22" t="str">
        <f>'PLANO DE SAÚDE'!C96</f>
        <v>31112</v>
      </c>
    </row>
    <row r="96" spans="1:23" s="20" customFormat="1" x14ac:dyDescent="0.3">
      <c r="A96" s="20" t="s">
        <v>16</v>
      </c>
      <c r="B96" s="21">
        <f t="shared" si="2"/>
        <v>191</v>
      </c>
      <c r="C96" s="21">
        <v>1</v>
      </c>
      <c r="D96" s="22" t="s">
        <v>17</v>
      </c>
      <c r="E96" s="23">
        <v>16.079999999999998</v>
      </c>
      <c r="F96" s="22" t="s">
        <v>18</v>
      </c>
      <c r="G96" s="24">
        <v>46265</v>
      </c>
      <c r="H96" s="21">
        <v>1</v>
      </c>
      <c r="I96" s="22" t="s">
        <v>19</v>
      </c>
      <c r="K96" s="20">
        <v>101</v>
      </c>
      <c r="L96" s="22" t="s">
        <v>447</v>
      </c>
      <c r="M96" s="22">
        <v>1</v>
      </c>
      <c r="N96" s="22">
        <v>31550109</v>
      </c>
      <c r="O96" s="25" t="s">
        <v>543</v>
      </c>
      <c r="Q96" s="22" t="s">
        <v>20</v>
      </c>
      <c r="R96" s="22" t="s">
        <v>18</v>
      </c>
      <c r="S96" s="20" t="s">
        <v>406</v>
      </c>
      <c r="T96" s="21">
        <v>19000</v>
      </c>
      <c r="U96" s="22" t="s">
        <v>657</v>
      </c>
      <c r="V96" s="21">
        <f t="shared" si="3"/>
        <v>192</v>
      </c>
      <c r="W96" s="22" t="str">
        <f>'PLANO DE SAÚDE'!C97</f>
        <v>31113</v>
      </c>
    </row>
    <row r="97" spans="1:23" s="20" customFormat="1" x14ac:dyDescent="0.3">
      <c r="A97" s="20" t="s">
        <v>16</v>
      </c>
      <c r="B97" s="21">
        <f t="shared" si="2"/>
        <v>193</v>
      </c>
      <c r="C97" s="21">
        <v>1</v>
      </c>
      <c r="D97" s="22" t="s">
        <v>17</v>
      </c>
      <c r="E97" s="23">
        <v>64.319999999999993</v>
      </c>
      <c r="F97" s="22" t="s">
        <v>18</v>
      </c>
      <c r="G97" s="24">
        <v>46265</v>
      </c>
      <c r="H97" s="21">
        <v>1</v>
      </c>
      <c r="I97" s="22" t="s">
        <v>19</v>
      </c>
      <c r="K97" s="20">
        <v>101</v>
      </c>
      <c r="L97" s="22" t="s">
        <v>447</v>
      </c>
      <c r="M97" s="22">
        <v>1</v>
      </c>
      <c r="N97" s="22">
        <v>31550109</v>
      </c>
      <c r="O97" s="25" t="s">
        <v>544</v>
      </c>
      <c r="Q97" s="22" t="s">
        <v>20</v>
      </c>
      <c r="R97" s="22" t="s">
        <v>18</v>
      </c>
      <c r="S97" s="20" t="s">
        <v>353</v>
      </c>
      <c r="T97" s="21">
        <v>19000</v>
      </c>
      <c r="U97" s="22" t="s">
        <v>657</v>
      </c>
      <c r="V97" s="21">
        <f t="shared" si="3"/>
        <v>194</v>
      </c>
      <c r="W97" s="22" t="str">
        <f>'PLANO DE SAÚDE'!C98</f>
        <v>31114</v>
      </c>
    </row>
    <row r="98" spans="1:23" s="20" customFormat="1" x14ac:dyDescent="0.3">
      <c r="A98" s="20" t="s">
        <v>16</v>
      </c>
      <c r="B98" s="21">
        <f t="shared" si="2"/>
        <v>195</v>
      </c>
      <c r="C98" s="21">
        <v>1</v>
      </c>
      <c r="D98" s="22" t="s">
        <v>17</v>
      </c>
      <c r="E98" s="23">
        <v>112.55999999999995</v>
      </c>
      <c r="F98" s="22" t="s">
        <v>18</v>
      </c>
      <c r="G98" s="24">
        <v>46265</v>
      </c>
      <c r="H98" s="21">
        <v>1</v>
      </c>
      <c r="I98" s="22" t="s">
        <v>19</v>
      </c>
      <c r="K98" s="20">
        <v>101</v>
      </c>
      <c r="L98" s="22" t="s">
        <v>447</v>
      </c>
      <c r="M98" s="22">
        <v>1</v>
      </c>
      <c r="N98" s="22">
        <v>31550109</v>
      </c>
      <c r="O98" s="25" t="s">
        <v>545</v>
      </c>
      <c r="Q98" s="22" t="s">
        <v>20</v>
      </c>
      <c r="R98" s="22" t="s">
        <v>18</v>
      </c>
      <c r="S98" s="20" t="s">
        <v>354</v>
      </c>
      <c r="T98" s="21">
        <v>19000</v>
      </c>
      <c r="U98" s="22" t="s">
        <v>657</v>
      </c>
      <c r="V98" s="21">
        <f t="shared" si="3"/>
        <v>196</v>
      </c>
      <c r="W98" s="22" t="str">
        <f>'PLANO DE SAÚDE'!C99</f>
        <v>31115</v>
      </c>
    </row>
    <row r="99" spans="1:23" s="20" customFormat="1" x14ac:dyDescent="0.3">
      <c r="A99" s="20" t="s">
        <v>16</v>
      </c>
      <c r="B99" s="21">
        <f t="shared" si="2"/>
        <v>197</v>
      </c>
      <c r="C99" s="21">
        <v>1</v>
      </c>
      <c r="D99" s="22" t="s">
        <v>17</v>
      </c>
      <c r="E99" s="23">
        <v>24.119999999999997</v>
      </c>
      <c r="F99" s="22" t="s">
        <v>18</v>
      </c>
      <c r="G99" s="24">
        <v>46265</v>
      </c>
      <c r="H99" s="21">
        <v>1</v>
      </c>
      <c r="I99" s="22" t="s">
        <v>19</v>
      </c>
      <c r="K99" s="20">
        <v>101</v>
      </c>
      <c r="L99" s="22" t="s">
        <v>447</v>
      </c>
      <c r="M99" s="22">
        <v>1</v>
      </c>
      <c r="N99" s="22">
        <v>31550109</v>
      </c>
      <c r="O99" s="25" t="s">
        <v>546</v>
      </c>
      <c r="Q99" s="22" t="s">
        <v>20</v>
      </c>
      <c r="R99" s="22" t="s">
        <v>18</v>
      </c>
      <c r="S99" s="20" t="s">
        <v>407</v>
      </c>
      <c r="T99" s="21">
        <v>19000</v>
      </c>
      <c r="U99" s="22" t="s">
        <v>657</v>
      </c>
      <c r="V99" s="21">
        <f t="shared" si="3"/>
        <v>198</v>
      </c>
      <c r="W99" s="22" t="str">
        <f>'PLANO DE SAÚDE'!C100</f>
        <v>31116</v>
      </c>
    </row>
    <row r="100" spans="1:23" s="20" customFormat="1" x14ac:dyDescent="0.3">
      <c r="A100" s="20" t="s">
        <v>16</v>
      </c>
      <c r="B100" s="21">
        <f t="shared" si="2"/>
        <v>199</v>
      </c>
      <c r="C100" s="21">
        <v>1</v>
      </c>
      <c r="D100" s="22" t="s">
        <v>17</v>
      </c>
      <c r="E100" s="23">
        <v>307.00000000000006</v>
      </c>
      <c r="F100" s="22" t="s">
        <v>18</v>
      </c>
      <c r="G100" s="24">
        <v>46265</v>
      </c>
      <c r="H100" s="21">
        <v>1</v>
      </c>
      <c r="I100" s="22" t="s">
        <v>19</v>
      </c>
      <c r="K100" s="20">
        <v>101</v>
      </c>
      <c r="L100" s="22" t="s">
        <v>447</v>
      </c>
      <c r="M100" s="22">
        <v>1</v>
      </c>
      <c r="N100" s="22">
        <v>31550109</v>
      </c>
      <c r="O100" s="25" t="s">
        <v>547</v>
      </c>
      <c r="Q100" s="22" t="s">
        <v>20</v>
      </c>
      <c r="R100" s="22" t="s">
        <v>18</v>
      </c>
      <c r="S100" s="20" t="s">
        <v>355</v>
      </c>
      <c r="T100" s="21">
        <v>19000</v>
      </c>
      <c r="U100" s="22" t="s">
        <v>657</v>
      </c>
      <c r="V100" s="21">
        <f t="shared" si="3"/>
        <v>200</v>
      </c>
      <c r="W100" s="22" t="str">
        <f>'PLANO DE SAÚDE'!C101</f>
        <v>31200</v>
      </c>
    </row>
    <row r="101" spans="1:23" s="20" customFormat="1" x14ac:dyDescent="0.3">
      <c r="A101" s="20" t="s">
        <v>16</v>
      </c>
      <c r="B101" s="21">
        <f t="shared" si="2"/>
        <v>201</v>
      </c>
      <c r="C101" s="21">
        <v>1</v>
      </c>
      <c r="D101" s="22" t="s">
        <v>17</v>
      </c>
      <c r="E101" s="23">
        <v>56.279999999999994</v>
      </c>
      <c r="F101" s="22" t="s">
        <v>18</v>
      </c>
      <c r="G101" s="24">
        <v>46265</v>
      </c>
      <c r="H101" s="21">
        <v>1</v>
      </c>
      <c r="I101" s="22" t="s">
        <v>19</v>
      </c>
      <c r="K101" s="20">
        <v>101</v>
      </c>
      <c r="L101" s="22" t="s">
        <v>447</v>
      </c>
      <c r="M101" s="22">
        <v>1</v>
      </c>
      <c r="N101" s="22">
        <v>31550109</v>
      </c>
      <c r="O101" s="25" t="s">
        <v>548</v>
      </c>
      <c r="Q101" s="22" t="s">
        <v>20</v>
      </c>
      <c r="R101" s="22" t="s">
        <v>18</v>
      </c>
      <c r="S101" s="20" t="s">
        <v>408</v>
      </c>
      <c r="T101" s="21">
        <v>19000</v>
      </c>
      <c r="U101" s="22" t="s">
        <v>657</v>
      </c>
      <c r="V101" s="21">
        <f t="shared" si="3"/>
        <v>202</v>
      </c>
      <c r="W101" s="22" t="str">
        <f>'PLANO DE SAÚDE'!C102</f>
        <v>31300</v>
      </c>
    </row>
    <row r="102" spans="1:23" s="20" customFormat="1" x14ac:dyDescent="0.3">
      <c r="A102" s="20" t="s">
        <v>16</v>
      </c>
      <c r="B102" s="21">
        <f t="shared" si="2"/>
        <v>203</v>
      </c>
      <c r="C102" s="21">
        <v>1</v>
      </c>
      <c r="D102" s="22" t="s">
        <v>17</v>
      </c>
      <c r="E102" s="23">
        <v>104.51999999999995</v>
      </c>
      <c r="F102" s="22" t="s">
        <v>18</v>
      </c>
      <c r="G102" s="24">
        <v>46265</v>
      </c>
      <c r="H102" s="21">
        <v>1</v>
      </c>
      <c r="I102" s="22" t="s">
        <v>19</v>
      </c>
      <c r="K102" s="20">
        <v>101</v>
      </c>
      <c r="L102" s="22" t="s">
        <v>447</v>
      </c>
      <c r="M102" s="22">
        <v>1</v>
      </c>
      <c r="N102" s="22">
        <v>31550109</v>
      </c>
      <c r="O102" s="25" t="s">
        <v>549</v>
      </c>
      <c r="Q102" s="22" t="s">
        <v>20</v>
      </c>
      <c r="R102" s="22" t="s">
        <v>18</v>
      </c>
      <c r="S102" s="20" t="s">
        <v>356</v>
      </c>
      <c r="T102" s="21">
        <v>19000</v>
      </c>
      <c r="U102" s="22" t="s">
        <v>657</v>
      </c>
      <c r="V102" s="21">
        <f t="shared" si="3"/>
        <v>204</v>
      </c>
      <c r="W102" s="22" t="str">
        <f>'PLANO DE SAÚDE'!C103</f>
        <v>33010</v>
      </c>
    </row>
    <row r="103" spans="1:23" s="20" customFormat="1" x14ac:dyDescent="0.3">
      <c r="A103" s="20" t="s">
        <v>16</v>
      </c>
      <c r="B103" s="21">
        <f t="shared" si="2"/>
        <v>205</v>
      </c>
      <c r="C103" s="21">
        <v>1</v>
      </c>
      <c r="D103" s="22" t="s">
        <v>17</v>
      </c>
      <c r="E103" s="23">
        <v>80.399999999999977</v>
      </c>
      <c r="F103" s="22" t="s">
        <v>18</v>
      </c>
      <c r="G103" s="24">
        <v>46265</v>
      </c>
      <c r="H103" s="21">
        <v>1</v>
      </c>
      <c r="I103" s="22" t="s">
        <v>19</v>
      </c>
      <c r="K103" s="20">
        <v>101</v>
      </c>
      <c r="L103" s="22" t="s">
        <v>447</v>
      </c>
      <c r="M103" s="22">
        <v>1</v>
      </c>
      <c r="N103" s="22">
        <v>31550109</v>
      </c>
      <c r="O103" s="25" t="s">
        <v>550</v>
      </c>
      <c r="Q103" s="22" t="s">
        <v>20</v>
      </c>
      <c r="R103" s="22" t="s">
        <v>18</v>
      </c>
      <c r="S103" s="20" t="s">
        <v>357</v>
      </c>
      <c r="T103" s="21">
        <v>19000</v>
      </c>
      <c r="U103" s="22" t="s">
        <v>657</v>
      </c>
      <c r="V103" s="21">
        <f t="shared" si="3"/>
        <v>206</v>
      </c>
      <c r="W103" s="22" t="str">
        <f>'PLANO DE SAÚDE'!C104</f>
        <v>33040</v>
      </c>
    </row>
    <row r="104" spans="1:23" s="20" customFormat="1" x14ac:dyDescent="0.3">
      <c r="A104" s="20" t="s">
        <v>16</v>
      </c>
      <c r="B104" s="21">
        <f t="shared" si="2"/>
        <v>207</v>
      </c>
      <c r="C104" s="21">
        <v>1</v>
      </c>
      <c r="D104" s="22" t="s">
        <v>17</v>
      </c>
      <c r="E104" s="23">
        <v>16.079999999999998</v>
      </c>
      <c r="F104" s="22" t="s">
        <v>18</v>
      </c>
      <c r="G104" s="24">
        <v>46265</v>
      </c>
      <c r="H104" s="21">
        <v>1</v>
      </c>
      <c r="I104" s="22" t="s">
        <v>19</v>
      </c>
      <c r="K104" s="20">
        <v>101</v>
      </c>
      <c r="L104" s="22" t="s">
        <v>447</v>
      </c>
      <c r="M104" s="22">
        <v>1</v>
      </c>
      <c r="N104" s="22">
        <v>31550109</v>
      </c>
      <c r="O104" s="25" t="s">
        <v>551</v>
      </c>
      <c r="Q104" s="22" t="s">
        <v>20</v>
      </c>
      <c r="R104" s="22" t="s">
        <v>18</v>
      </c>
      <c r="S104" s="20" t="s">
        <v>409</v>
      </c>
      <c r="T104" s="21">
        <v>19000</v>
      </c>
      <c r="U104" s="22" t="s">
        <v>657</v>
      </c>
      <c r="V104" s="21">
        <f t="shared" si="3"/>
        <v>208</v>
      </c>
      <c r="W104" s="22" t="str">
        <f>'PLANO DE SAÚDE'!C105</f>
        <v>33050</v>
      </c>
    </row>
    <row r="105" spans="1:23" s="20" customFormat="1" x14ac:dyDescent="0.3">
      <c r="A105" s="20" t="s">
        <v>16</v>
      </c>
      <c r="B105" s="21">
        <f t="shared" si="2"/>
        <v>209</v>
      </c>
      <c r="C105" s="21">
        <v>1</v>
      </c>
      <c r="D105" s="22" t="s">
        <v>17</v>
      </c>
      <c r="E105" s="23">
        <v>8.0399999999999991</v>
      </c>
      <c r="F105" s="22" t="s">
        <v>18</v>
      </c>
      <c r="G105" s="24">
        <v>46265</v>
      </c>
      <c r="H105" s="21">
        <v>1</v>
      </c>
      <c r="I105" s="22" t="s">
        <v>19</v>
      </c>
      <c r="K105" s="20">
        <v>101</v>
      </c>
      <c r="L105" s="22" t="s">
        <v>447</v>
      </c>
      <c r="M105" s="22">
        <v>1</v>
      </c>
      <c r="N105" s="22">
        <v>31550109</v>
      </c>
      <c r="O105" s="25" t="s">
        <v>552</v>
      </c>
      <c r="Q105" s="22" t="s">
        <v>20</v>
      </c>
      <c r="R105" s="22" t="s">
        <v>18</v>
      </c>
      <c r="S105" s="20">
        <v>31090</v>
      </c>
      <c r="T105" s="21">
        <v>19000</v>
      </c>
      <c r="U105" s="22" t="s">
        <v>657</v>
      </c>
      <c r="V105" s="21">
        <f t="shared" si="3"/>
        <v>210</v>
      </c>
      <c r="W105" s="22" t="str">
        <f>'PLANO DE SAÚDE'!C106</f>
        <v>33060</v>
      </c>
    </row>
    <row r="106" spans="1:23" s="20" customFormat="1" x14ac:dyDescent="0.3">
      <c r="A106" s="20" t="s">
        <v>16</v>
      </c>
      <c r="B106" s="21">
        <f t="shared" si="2"/>
        <v>211</v>
      </c>
      <c r="C106" s="21">
        <v>1</v>
      </c>
      <c r="D106" s="22" t="s">
        <v>17</v>
      </c>
      <c r="E106" s="23">
        <v>16.079999999999998</v>
      </c>
      <c r="F106" s="22" t="s">
        <v>18</v>
      </c>
      <c r="G106" s="24">
        <v>46265</v>
      </c>
      <c r="H106" s="21">
        <v>1</v>
      </c>
      <c r="I106" s="22" t="s">
        <v>19</v>
      </c>
      <c r="K106" s="20">
        <v>101</v>
      </c>
      <c r="L106" s="22" t="s">
        <v>447</v>
      </c>
      <c r="M106" s="22">
        <v>1</v>
      </c>
      <c r="N106" s="22">
        <v>31550109</v>
      </c>
      <c r="O106" s="25" t="s">
        <v>553</v>
      </c>
      <c r="Q106" s="22" t="s">
        <v>20</v>
      </c>
      <c r="R106" s="22" t="s">
        <v>18</v>
      </c>
      <c r="S106" s="20">
        <v>31116</v>
      </c>
      <c r="T106" s="21">
        <v>19000</v>
      </c>
      <c r="U106" s="22" t="s">
        <v>657</v>
      </c>
      <c r="V106" s="21">
        <f t="shared" si="3"/>
        <v>212</v>
      </c>
      <c r="W106" s="22">
        <f>'PLANO DE SAÚDE'!C109</f>
        <v>31116</v>
      </c>
    </row>
    <row r="107" spans="1:23" s="41" customFormat="1" x14ac:dyDescent="0.3">
      <c r="A107" s="41" t="s">
        <v>16</v>
      </c>
      <c r="B107" s="42">
        <f t="shared" si="2"/>
        <v>213</v>
      </c>
      <c r="C107" s="42">
        <v>1</v>
      </c>
      <c r="D107" s="43" t="s">
        <v>17</v>
      </c>
      <c r="E107" s="23">
        <v>16.079999999999998</v>
      </c>
      <c r="F107" s="43" t="s">
        <v>18</v>
      </c>
      <c r="G107" s="24">
        <v>46265</v>
      </c>
      <c r="H107" s="21">
        <v>1</v>
      </c>
      <c r="I107" s="22" t="s">
        <v>19</v>
      </c>
      <c r="K107" s="20">
        <v>101</v>
      </c>
      <c r="L107" s="22" t="s">
        <v>447</v>
      </c>
      <c r="M107" s="43">
        <v>1</v>
      </c>
      <c r="N107" s="43">
        <v>31550109</v>
      </c>
      <c r="O107" s="25" t="s">
        <v>554</v>
      </c>
      <c r="Q107" s="43" t="s">
        <v>20</v>
      </c>
      <c r="R107" s="43" t="s">
        <v>18</v>
      </c>
      <c r="S107" s="20">
        <v>33050</v>
      </c>
      <c r="T107" s="42">
        <v>19000</v>
      </c>
      <c r="U107" s="22" t="s">
        <v>657</v>
      </c>
      <c r="V107" s="42">
        <f t="shared" si="3"/>
        <v>214</v>
      </c>
      <c r="W107" s="22">
        <f>'PLANO DE SAÚDE'!C110</f>
        <v>33050</v>
      </c>
    </row>
    <row r="108" spans="1:23" s="20" customFormat="1" x14ac:dyDescent="0.3">
      <c r="A108" s="20" t="s">
        <v>16</v>
      </c>
      <c r="B108" s="21">
        <f t="shared" si="2"/>
        <v>215</v>
      </c>
      <c r="C108" s="21">
        <v>1</v>
      </c>
      <c r="D108" s="22" t="s">
        <v>17</v>
      </c>
      <c r="E108" s="23">
        <v>16.079999999999998</v>
      </c>
      <c r="F108" s="22" t="s">
        <v>18</v>
      </c>
      <c r="G108" s="24">
        <v>46265</v>
      </c>
      <c r="H108" s="21">
        <v>1</v>
      </c>
      <c r="I108" s="22" t="s">
        <v>19</v>
      </c>
      <c r="K108" s="20">
        <v>101</v>
      </c>
      <c r="L108" s="22" t="s">
        <v>447</v>
      </c>
      <c r="M108" s="22">
        <v>1</v>
      </c>
      <c r="N108" s="22">
        <v>31550109</v>
      </c>
      <c r="O108" s="25" t="s">
        <v>555</v>
      </c>
      <c r="Q108" s="22" t="s">
        <v>20</v>
      </c>
      <c r="R108" s="22" t="s">
        <v>18</v>
      </c>
      <c r="S108" s="20">
        <v>14012</v>
      </c>
      <c r="T108" s="21">
        <v>19000</v>
      </c>
      <c r="U108" s="22" t="s">
        <v>657</v>
      </c>
      <c r="V108" s="21">
        <f t="shared" si="3"/>
        <v>216</v>
      </c>
      <c r="W108" s="22">
        <f>'PLANO DE SAÚDE'!C111</f>
        <v>14012</v>
      </c>
    </row>
    <row r="109" spans="1:23" s="20" customFormat="1" x14ac:dyDescent="0.3">
      <c r="A109" s="20" t="s">
        <v>16</v>
      </c>
      <c r="B109" s="21">
        <f t="shared" si="2"/>
        <v>217</v>
      </c>
      <c r="C109" s="21">
        <v>1</v>
      </c>
      <c r="D109" s="22" t="s">
        <v>17</v>
      </c>
      <c r="E109" s="23">
        <v>8.0399999999999991</v>
      </c>
      <c r="F109" s="22" t="s">
        <v>18</v>
      </c>
      <c r="G109" s="24">
        <v>46265</v>
      </c>
      <c r="H109" s="21">
        <v>1</v>
      </c>
      <c r="I109" s="22" t="s">
        <v>19</v>
      </c>
      <c r="K109" s="20">
        <v>101</v>
      </c>
      <c r="L109" s="22" t="s">
        <v>447</v>
      </c>
      <c r="M109" s="22">
        <v>1</v>
      </c>
      <c r="N109" s="22">
        <v>31550109</v>
      </c>
      <c r="O109" s="25" t="s">
        <v>556</v>
      </c>
      <c r="Q109" s="22" t="s">
        <v>20</v>
      </c>
      <c r="R109" s="22" t="s">
        <v>18</v>
      </c>
      <c r="S109" s="20">
        <v>21012</v>
      </c>
      <c r="T109" s="21">
        <v>19000</v>
      </c>
      <c r="U109" s="22" t="s">
        <v>657</v>
      </c>
      <c r="V109" s="21">
        <f t="shared" si="3"/>
        <v>218</v>
      </c>
      <c r="W109" s="22">
        <f>'PLANO DE SAÚDE'!C112</f>
        <v>21012</v>
      </c>
    </row>
    <row r="110" spans="1:23" s="20" customFormat="1" x14ac:dyDescent="0.3">
      <c r="A110" s="20" t="s">
        <v>16</v>
      </c>
      <c r="B110" s="21">
        <f t="shared" si="2"/>
        <v>219</v>
      </c>
      <c r="C110" s="21">
        <v>1</v>
      </c>
      <c r="D110" s="22" t="s">
        <v>17</v>
      </c>
      <c r="E110" s="23">
        <v>8.0399999999999991</v>
      </c>
      <c r="F110" s="22" t="s">
        <v>18</v>
      </c>
      <c r="G110" s="24">
        <v>46265</v>
      </c>
      <c r="H110" s="21">
        <v>1</v>
      </c>
      <c r="I110" s="22" t="s">
        <v>19</v>
      </c>
      <c r="K110" s="20">
        <v>101</v>
      </c>
      <c r="L110" s="22" t="s">
        <v>447</v>
      </c>
      <c r="M110" s="22">
        <v>1</v>
      </c>
      <c r="N110" s="22">
        <v>31550109</v>
      </c>
      <c r="O110" s="25" t="s">
        <v>557</v>
      </c>
      <c r="Q110" s="22" t="s">
        <v>20</v>
      </c>
      <c r="R110" s="22" t="s">
        <v>18</v>
      </c>
      <c r="S110" s="20">
        <v>13016</v>
      </c>
      <c r="T110" s="21">
        <v>19000</v>
      </c>
      <c r="U110" s="22" t="s">
        <v>657</v>
      </c>
      <c r="V110" s="21">
        <f t="shared" si="3"/>
        <v>220</v>
      </c>
      <c r="W110" s="22">
        <f>'PLANO DE SAÚDE'!C113</f>
        <v>13016</v>
      </c>
    </row>
    <row r="111" spans="1:23" s="20" customFormat="1" x14ac:dyDescent="0.3">
      <c r="A111" s="20" t="s">
        <v>16</v>
      </c>
      <c r="B111" s="21">
        <f t="shared" si="2"/>
        <v>221</v>
      </c>
      <c r="C111" s="21">
        <v>1</v>
      </c>
      <c r="D111" s="22" t="s">
        <v>17</v>
      </c>
      <c r="E111" s="23">
        <v>8.0399999999999991</v>
      </c>
      <c r="F111" s="22" t="s">
        <v>18</v>
      </c>
      <c r="G111" s="24">
        <v>46265</v>
      </c>
      <c r="H111" s="21">
        <v>1</v>
      </c>
      <c r="I111" s="22" t="s">
        <v>19</v>
      </c>
      <c r="K111" s="20">
        <v>101</v>
      </c>
      <c r="L111" s="22" t="s">
        <v>447</v>
      </c>
      <c r="M111" s="22">
        <v>1</v>
      </c>
      <c r="N111" s="22">
        <v>31550109</v>
      </c>
      <c r="O111" s="25" t="s">
        <v>558</v>
      </c>
      <c r="Q111" s="22" t="s">
        <v>20</v>
      </c>
      <c r="R111" s="22" t="s">
        <v>18</v>
      </c>
      <c r="S111" s="20">
        <v>13021</v>
      </c>
      <c r="T111" s="21">
        <v>19000</v>
      </c>
      <c r="U111" s="22" t="s">
        <v>657</v>
      </c>
      <c r="V111" s="21">
        <f t="shared" si="3"/>
        <v>222</v>
      </c>
      <c r="W111" s="22">
        <f>'PLANO DE SAÚDE'!C114</f>
        <v>13021</v>
      </c>
    </row>
    <row r="112" spans="1:23" s="20" customFormat="1" x14ac:dyDescent="0.3">
      <c r="A112" s="20" t="s">
        <v>16</v>
      </c>
      <c r="B112" s="21">
        <f t="shared" si="2"/>
        <v>223</v>
      </c>
      <c r="C112" s="21">
        <v>1</v>
      </c>
      <c r="D112" s="22" t="s">
        <v>17</v>
      </c>
      <c r="E112" s="23">
        <v>8.0399999999999991</v>
      </c>
      <c r="F112" s="22" t="s">
        <v>18</v>
      </c>
      <c r="G112" s="24">
        <v>46265</v>
      </c>
      <c r="H112" s="21">
        <v>1</v>
      </c>
      <c r="I112" s="22" t="s">
        <v>19</v>
      </c>
      <c r="K112" s="20">
        <v>101</v>
      </c>
      <c r="L112" s="22" t="s">
        <v>447</v>
      </c>
      <c r="M112" s="22">
        <v>1</v>
      </c>
      <c r="N112" s="22">
        <v>31550109</v>
      </c>
      <c r="O112" s="25" t="s">
        <v>559</v>
      </c>
      <c r="Q112" s="22" t="s">
        <v>20</v>
      </c>
      <c r="R112" s="22" t="s">
        <v>18</v>
      </c>
      <c r="S112" s="20">
        <v>21011</v>
      </c>
      <c r="T112" s="21">
        <v>19000</v>
      </c>
      <c r="U112" s="22" t="s">
        <v>657</v>
      </c>
      <c r="V112" s="21">
        <f t="shared" si="3"/>
        <v>224</v>
      </c>
      <c r="W112" s="22">
        <f>'PLANO DE SAÚDE'!C115</f>
        <v>21011</v>
      </c>
    </row>
    <row r="113" spans="1:23" s="20" customFormat="1" x14ac:dyDescent="0.3">
      <c r="A113" s="20" t="s">
        <v>16</v>
      </c>
      <c r="B113" s="21">
        <f t="shared" si="2"/>
        <v>225</v>
      </c>
      <c r="C113" s="21">
        <v>1</v>
      </c>
      <c r="D113" s="22" t="s">
        <v>17</v>
      </c>
      <c r="E113" s="23">
        <v>8.0399999999999991</v>
      </c>
      <c r="F113" s="22" t="s">
        <v>18</v>
      </c>
      <c r="G113" s="24">
        <v>46265</v>
      </c>
      <c r="H113" s="21">
        <v>1</v>
      </c>
      <c r="I113" s="22" t="s">
        <v>19</v>
      </c>
      <c r="K113" s="20">
        <v>101</v>
      </c>
      <c r="L113" s="22" t="s">
        <v>447</v>
      </c>
      <c r="M113" s="22">
        <v>1</v>
      </c>
      <c r="N113" s="22">
        <v>31550109</v>
      </c>
      <c r="O113" s="25" t="s">
        <v>560</v>
      </c>
      <c r="Q113" s="22" t="s">
        <v>20</v>
      </c>
      <c r="R113" s="22" t="s">
        <v>18</v>
      </c>
      <c r="S113" s="20">
        <v>33010</v>
      </c>
      <c r="T113" s="21">
        <v>19000</v>
      </c>
      <c r="U113" s="22" t="s">
        <v>657</v>
      </c>
      <c r="V113" s="21">
        <f t="shared" si="3"/>
        <v>226</v>
      </c>
      <c r="W113" s="22">
        <f>'PLANO DE SAÚDE'!C116</f>
        <v>33010</v>
      </c>
    </row>
    <row r="114" spans="1:23" s="41" customFormat="1" x14ac:dyDescent="0.3">
      <c r="A114" s="41" t="s">
        <v>16</v>
      </c>
      <c r="B114" s="42">
        <f t="shared" si="2"/>
        <v>227</v>
      </c>
      <c r="C114" s="42">
        <v>1</v>
      </c>
      <c r="D114" s="43" t="s">
        <v>17</v>
      </c>
      <c r="E114" s="23">
        <v>2502.52</v>
      </c>
      <c r="F114" s="43" t="s">
        <v>18</v>
      </c>
      <c r="G114" s="24">
        <v>46265</v>
      </c>
      <c r="H114" s="21">
        <v>1</v>
      </c>
      <c r="I114" s="22" t="s">
        <v>19</v>
      </c>
      <c r="K114" s="20">
        <v>101</v>
      </c>
      <c r="L114" s="22" t="s">
        <v>447</v>
      </c>
      <c r="M114" s="43">
        <v>1</v>
      </c>
      <c r="N114" s="43">
        <v>31550109</v>
      </c>
      <c r="O114" s="25" t="s">
        <v>561</v>
      </c>
      <c r="Q114" s="43" t="s">
        <v>20</v>
      </c>
      <c r="R114" s="43" t="s">
        <v>18</v>
      </c>
      <c r="S114" s="20">
        <v>13014</v>
      </c>
      <c r="T114" s="42">
        <v>19000</v>
      </c>
      <c r="U114" s="22" t="s">
        <v>656</v>
      </c>
      <c r="V114" s="42">
        <f t="shared" si="3"/>
        <v>228</v>
      </c>
      <c r="W114" s="22">
        <f>'PLANO DE SAÚDE'!C117</f>
        <v>13014</v>
      </c>
    </row>
    <row r="115" spans="1:23" s="20" customFormat="1" x14ac:dyDescent="0.3">
      <c r="A115" s="20" t="s">
        <v>16</v>
      </c>
      <c r="B115" s="21">
        <f t="shared" si="2"/>
        <v>229</v>
      </c>
      <c r="C115" s="21">
        <v>1</v>
      </c>
      <c r="D115" s="22" t="s">
        <v>17</v>
      </c>
      <c r="E115" s="23">
        <v>1238.55</v>
      </c>
      <c r="F115" s="22" t="s">
        <v>18</v>
      </c>
      <c r="G115" s="24">
        <v>46265</v>
      </c>
      <c r="H115" s="21">
        <v>1</v>
      </c>
      <c r="I115" s="22" t="s">
        <v>19</v>
      </c>
      <c r="K115" s="20">
        <v>101</v>
      </c>
      <c r="L115" s="22" t="s">
        <v>447</v>
      </c>
      <c r="M115" s="22">
        <v>1</v>
      </c>
      <c r="N115" s="22">
        <v>31550109</v>
      </c>
      <c r="O115" s="25" t="s">
        <v>562</v>
      </c>
      <c r="Q115" s="22" t="s">
        <v>20</v>
      </c>
      <c r="R115" s="22" t="s">
        <v>18</v>
      </c>
      <c r="S115" s="20">
        <v>14050</v>
      </c>
      <c r="T115" s="21">
        <v>19000</v>
      </c>
      <c r="U115" s="22" t="s">
        <v>656</v>
      </c>
      <c r="V115" s="21">
        <f t="shared" si="3"/>
        <v>230</v>
      </c>
      <c r="W115" s="22">
        <f>'PLANO DE SAÚDE'!C118</f>
        <v>14050</v>
      </c>
    </row>
    <row r="116" spans="1:23" s="20" customFormat="1" x14ac:dyDescent="0.3">
      <c r="A116" s="20" t="s">
        <v>16</v>
      </c>
      <c r="B116" s="21">
        <f t="shared" si="2"/>
        <v>231</v>
      </c>
      <c r="C116" s="21">
        <v>1</v>
      </c>
      <c r="D116" s="22" t="s">
        <v>17</v>
      </c>
      <c r="E116" s="23">
        <v>2502.52</v>
      </c>
      <c r="F116" s="22" t="s">
        <v>18</v>
      </c>
      <c r="G116" s="24">
        <v>46265</v>
      </c>
      <c r="H116" s="21">
        <v>1</v>
      </c>
      <c r="I116" s="22" t="s">
        <v>19</v>
      </c>
      <c r="K116" s="20">
        <v>101</v>
      </c>
      <c r="L116" s="22" t="s">
        <v>447</v>
      </c>
      <c r="M116" s="22">
        <v>1</v>
      </c>
      <c r="N116" s="22">
        <v>31550109</v>
      </c>
      <c r="O116" s="25" t="s">
        <v>563</v>
      </c>
      <c r="Q116" s="22" t="s">
        <v>20</v>
      </c>
      <c r="R116" s="22" t="s">
        <v>18</v>
      </c>
      <c r="S116" s="20">
        <v>15012</v>
      </c>
      <c r="T116" s="21">
        <v>19000</v>
      </c>
      <c r="U116" s="22" t="s">
        <v>656</v>
      </c>
      <c r="V116" s="21">
        <f t="shared" si="3"/>
        <v>232</v>
      </c>
      <c r="W116" s="22">
        <f>'PLANO DE SAÚDE'!C119</f>
        <v>15012</v>
      </c>
    </row>
    <row r="117" spans="1:23" s="20" customFormat="1" x14ac:dyDescent="0.3">
      <c r="A117" s="20" t="s">
        <v>16</v>
      </c>
      <c r="B117" s="21">
        <f t="shared" si="2"/>
        <v>233</v>
      </c>
      <c r="C117" s="21">
        <v>1</v>
      </c>
      <c r="D117" s="22" t="s">
        <v>17</v>
      </c>
      <c r="E117" s="23">
        <v>1238.5500000000002</v>
      </c>
      <c r="F117" s="22" t="s">
        <v>18</v>
      </c>
      <c r="G117" s="24">
        <v>46265</v>
      </c>
      <c r="H117" s="21">
        <v>1</v>
      </c>
      <c r="I117" s="22" t="s">
        <v>19</v>
      </c>
      <c r="K117" s="20">
        <v>101</v>
      </c>
      <c r="L117" s="22" t="s">
        <v>447</v>
      </c>
      <c r="M117" s="22">
        <v>1</v>
      </c>
      <c r="N117" s="22">
        <v>31550109</v>
      </c>
      <c r="O117" s="25" t="s">
        <v>564</v>
      </c>
      <c r="Q117" s="22" t="s">
        <v>20</v>
      </c>
      <c r="R117" s="22" t="s">
        <v>18</v>
      </c>
      <c r="S117" s="20">
        <v>15056</v>
      </c>
      <c r="T117" s="21">
        <v>19000</v>
      </c>
      <c r="U117" s="22" t="s">
        <v>656</v>
      </c>
      <c r="V117" s="21">
        <f t="shared" si="3"/>
        <v>234</v>
      </c>
      <c r="W117" s="22">
        <f>'PLANO DE SAÚDE'!C120</f>
        <v>15056</v>
      </c>
    </row>
    <row r="118" spans="1:23" s="20" customFormat="1" x14ac:dyDescent="0.3">
      <c r="A118" s="20" t="s">
        <v>16</v>
      </c>
      <c r="B118" s="21">
        <f t="shared" si="2"/>
        <v>235</v>
      </c>
      <c r="C118" s="21">
        <v>1</v>
      </c>
      <c r="D118" s="22" t="s">
        <v>17</v>
      </c>
      <c r="E118" s="23">
        <v>33358.46</v>
      </c>
      <c r="F118" s="22" t="s">
        <v>18</v>
      </c>
      <c r="G118" s="24">
        <v>46265</v>
      </c>
      <c r="H118" s="21">
        <v>1</v>
      </c>
      <c r="I118" s="22" t="s">
        <v>19</v>
      </c>
      <c r="K118" s="20">
        <v>101</v>
      </c>
      <c r="L118" s="22" t="s">
        <v>447</v>
      </c>
      <c r="M118" s="22">
        <v>1</v>
      </c>
      <c r="N118" s="22">
        <v>31550109</v>
      </c>
      <c r="O118" s="25" t="s">
        <v>565</v>
      </c>
      <c r="Q118" s="22" t="s">
        <v>20</v>
      </c>
      <c r="R118" s="22" t="s">
        <v>18</v>
      </c>
      <c r="S118" s="20" t="s">
        <v>358</v>
      </c>
      <c r="T118" s="21">
        <v>19000</v>
      </c>
      <c r="U118" s="22" t="s">
        <v>656</v>
      </c>
      <c r="V118" s="21">
        <f t="shared" si="3"/>
        <v>236</v>
      </c>
      <c r="W118" s="22" t="str">
        <f>'PLANO DE SAÚDE'!C121</f>
        <v>11011</v>
      </c>
    </row>
    <row r="119" spans="1:23" s="20" customFormat="1" x14ac:dyDescent="0.3">
      <c r="A119" s="20" t="s">
        <v>16</v>
      </c>
      <c r="B119" s="21">
        <f t="shared" si="2"/>
        <v>237</v>
      </c>
      <c r="C119" s="21">
        <v>1</v>
      </c>
      <c r="D119" s="22" t="s">
        <v>17</v>
      </c>
      <c r="E119" s="23">
        <v>15015.119999999999</v>
      </c>
      <c r="F119" s="22" t="s">
        <v>18</v>
      </c>
      <c r="G119" s="24">
        <v>46265</v>
      </c>
      <c r="H119" s="21">
        <v>1</v>
      </c>
      <c r="I119" s="22" t="s">
        <v>19</v>
      </c>
      <c r="K119" s="20">
        <v>101</v>
      </c>
      <c r="L119" s="22" t="s">
        <v>447</v>
      </c>
      <c r="M119" s="22">
        <v>1</v>
      </c>
      <c r="N119" s="22">
        <v>31550109</v>
      </c>
      <c r="O119" s="25" t="s">
        <v>566</v>
      </c>
      <c r="Q119" s="22" t="s">
        <v>20</v>
      </c>
      <c r="R119" s="22" t="s">
        <v>18</v>
      </c>
      <c r="S119" s="20" t="s">
        <v>332</v>
      </c>
      <c r="T119" s="21">
        <v>19000</v>
      </c>
      <c r="U119" s="22" t="s">
        <v>656</v>
      </c>
      <c r="V119" s="21">
        <f t="shared" si="3"/>
        <v>238</v>
      </c>
      <c r="W119" s="22" t="str">
        <f>'PLANO DE SAÚDE'!C122</f>
        <v>11012</v>
      </c>
    </row>
    <row r="120" spans="1:23" s="20" customFormat="1" x14ac:dyDescent="0.3">
      <c r="A120" s="20" t="s">
        <v>16</v>
      </c>
      <c r="B120" s="21">
        <f t="shared" si="2"/>
        <v>239</v>
      </c>
      <c r="C120" s="21">
        <v>1</v>
      </c>
      <c r="D120" s="22" t="s">
        <v>17</v>
      </c>
      <c r="E120" s="23">
        <v>7507.5599999999995</v>
      </c>
      <c r="F120" s="22" t="s">
        <v>18</v>
      </c>
      <c r="G120" s="24">
        <v>46265</v>
      </c>
      <c r="H120" s="21">
        <v>1</v>
      </c>
      <c r="I120" s="22" t="s">
        <v>19</v>
      </c>
      <c r="K120" s="20">
        <v>101</v>
      </c>
      <c r="L120" s="22" t="s">
        <v>447</v>
      </c>
      <c r="M120" s="22">
        <v>1</v>
      </c>
      <c r="N120" s="22">
        <v>31550109</v>
      </c>
      <c r="O120" s="25" t="s">
        <v>567</v>
      </c>
      <c r="Q120" s="22" t="s">
        <v>20</v>
      </c>
      <c r="R120" s="22" t="s">
        <v>18</v>
      </c>
      <c r="S120" s="20" t="s">
        <v>359</v>
      </c>
      <c r="T120" s="21">
        <v>19000</v>
      </c>
      <c r="U120" s="22" t="s">
        <v>656</v>
      </c>
      <c r="V120" s="21">
        <f t="shared" si="3"/>
        <v>240</v>
      </c>
      <c r="W120" s="22" t="str">
        <f>'PLANO DE SAÚDE'!C123</f>
        <v>11013</v>
      </c>
    </row>
    <row r="121" spans="1:23" s="20" customFormat="1" x14ac:dyDescent="0.3">
      <c r="A121" s="20" t="s">
        <v>16</v>
      </c>
      <c r="B121" s="21">
        <f t="shared" si="2"/>
        <v>241</v>
      </c>
      <c r="C121" s="21">
        <v>1</v>
      </c>
      <c r="D121" s="22" t="s">
        <v>17</v>
      </c>
      <c r="E121" s="23">
        <v>5005.04</v>
      </c>
      <c r="F121" s="22" t="s">
        <v>18</v>
      </c>
      <c r="G121" s="24">
        <v>46265</v>
      </c>
      <c r="H121" s="21">
        <v>1</v>
      </c>
      <c r="I121" s="22" t="s">
        <v>19</v>
      </c>
      <c r="K121" s="20">
        <v>101</v>
      </c>
      <c r="L121" s="22" t="s">
        <v>447</v>
      </c>
      <c r="M121" s="22">
        <v>1</v>
      </c>
      <c r="N121" s="22">
        <v>31550109</v>
      </c>
      <c r="O121" s="25" t="s">
        <v>568</v>
      </c>
      <c r="Q121" s="22" t="s">
        <v>20</v>
      </c>
      <c r="R121" s="22" t="s">
        <v>18</v>
      </c>
      <c r="S121" s="20" t="s">
        <v>335</v>
      </c>
      <c r="T121" s="21">
        <v>19000</v>
      </c>
      <c r="U121" s="22" t="s">
        <v>656</v>
      </c>
      <c r="V121" s="21">
        <f t="shared" si="3"/>
        <v>242</v>
      </c>
      <c r="W121" s="22" t="str">
        <f>'PLANO DE SAÚDE'!C124</f>
        <v>13013</v>
      </c>
    </row>
    <row r="122" spans="1:23" s="20" customFormat="1" x14ac:dyDescent="0.3">
      <c r="A122" s="20" t="s">
        <v>16</v>
      </c>
      <c r="B122" s="21">
        <f t="shared" si="2"/>
        <v>243</v>
      </c>
      <c r="C122" s="21">
        <v>1</v>
      </c>
      <c r="D122" s="22" t="s">
        <v>17</v>
      </c>
      <c r="E122" s="23">
        <v>4979.6200000000008</v>
      </c>
      <c r="F122" s="22" t="s">
        <v>18</v>
      </c>
      <c r="G122" s="24">
        <v>46265</v>
      </c>
      <c r="H122" s="21">
        <v>1</v>
      </c>
      <c r="I122" s="22" t="s">
        <v>19</v>
      </c>
      <c r="K122" s="20">
        <v>101</v>
      </c>
      <c r="L122" s="22" t="s">
        <v>447</v>
      </c>
      <c r="M122" s="22">
        <v>1</v>
      </c>
      <c r="N122" s="22">
        <v>31550109</v>
      </c>
      <c r="O122" s="25" t="s">
        <v>569</v>
      </c>
      <c r="Q122" s="22" t="s">
        <v>20</v>
      </c>
      <c r="R122" s="22" t="s">
        <v>18</v>
      </c>
      <c r="S122" s="20" t="s">
        <v>340</v>
      </c>
      <c r="T122" s="21">
        <v>19000</v>
      </c>
      <c r="U122" s="22" t="s">
        <v>656</v>
      </c>
      <c r="V122" s="21">
        <f t="shared" si="3"/>
        <v>244</v>
      </c>
      <c r="W122" s="22" t="str">
        <f>'PLANO DE SAÚDE'!C125</f>
        <v>14051</v>
      </c>
    </row>
    <row r="123" spans="1:23" s="20" customFormat="1" x14ac:dyDescent="0.3">
      <c r="A123" s="20" t="s">
        <v>16</v>
      </c>
      <c r="B123" s="21">
        <f t="shared" si="2"/>
        <v>245</v>
      </c>
      <c r="C123" s="21">
        <v>1</v>
      </c>
      <c r="D123" s="22" t="s">
        <v>17</v>
      </c>
      <c r="E123" s="23">
        <v>2477.1000000000004</v>
      </c>
      <c r="F123" s="22" t="s">
        <v>18</v>
      </c>
      <c r="G123" s="24">
        <v>46265</v>
      </c>
      <c r="H123" s="21">
        <v>1</v>
      </c>
      <c r="I123" s="22" t="s">
        <v>19</v>
      </c>
      <c r="K123" s="20">
        <v>101</v>
      </c>
      <c r="L123" s="22" t="s">
        <v>447</v>
      </c>
      <c r="M123" s="22">
        <v>1</v>
      </c>
      <c r="N123" s="22">
        <v>31550109</v>
      </c>
      <c r="O123" s="25" t="s">
        <v>570</v>
      </c>
      <c r="Q123" s="22" t="s">
        <v>20</v>
      </c>
      <c r="R123" s="22" t="s">
        <v>18</v>
      </c>
      <c r="S123" s="20" t="s">
        <v>361</v>
      </c>
      <c r="T123" s="21">
        <v>19000</v>
      </c>
      <c r="U123" s="22" t="s">
        <v>656</v>
      </c>
      <c r="V123" s="21">
        <f t="shared" si="3"/>
        <v>246</v>
      </c>
      <c r="W123" s="22" t="str">
        <f>'PLANO DE SAÚDE'!C126</f>
        <v>14056</v>
      </c>
    </row>
    <row r="124" spans="1:23" s="20" customFormat="1" x14ac:dyDescent="0.3">
      <c r="A124" s="20" t="s">
        <v>16</v>
      </c>
      <c r="B124" s="21">
        <f t="shared" si="2"/>
        <v>247</v>
      </c>
      <c r="C124" s="21">
        <v>1</v>
      </c>
      <c r="D124" s="22" t="s">
        <v>17</v>
      </c>
      <c r="E124" s="23">
        <v>1238.55</v>
      </c>
      <c r="F124" s="22" t="s">
        <v>18</v>
      </c>
      <c r="G124" s="24">
        <v>46265</v>
      </c>
      <c r="H124" s="21">
        <v>1</v>
      </c>
      <c r="I124" s="22" t="s">
        <v>19</v>
      </c>
      <c r="K124" s="20">
        <v>101</v>
      </c>
      <c r="L124" s="22" t="s">
        <v>447</v>
      </c>
      <c r="M124" s="22">
        <v>1</v>
      </c>
      <c r="N124" s="22">
        <v>31550109</v>
      </c>
      <c r="O124" s="25" t="s">
        <v>571</v>
      </c>
      <c r="Q124" s="22" t="s">
        <v>20</v>
      </c>
      <c r="R124" s="22" t="s">
        <v>18</v>
      </c>
      <c r="S124" s="20" t="s">
        <v>343</v>
      </c>
      <c r="T124" s="21">
        <v>19000</v>
      </c>
      <c r="U124" s="22" t="s">
        <v>656</v>
      </c>
      <c r="V124" s="21">
        <f t="shared" si="3"/>
        <v>248</v>
      </c>
      <c r="W124" s="22" t="str">
        <f>'PLANO DE SAÚDE'!C127</f>
        <v>15012</v>
      </c>
    </row>
    <row r="125" spans="1:23" s="20" customFormat="1" x14ac:dyDescent="0.3">
      <c r="A125" s="20" t="s">
        <v>16</v>
      </c>
      <c r="B125" s="21">
        <f t="shared" si="2"/>
        <v>249</v>
      </c>
      <c r="C125" s="21">
        <v>1</v>
      </c>
      <c r="D125" s="22" t="s">
        <v>17</v>
      </c>
      <c r="E125" s="23">
        <v>12798.350000000004</v>
      </c>
      <c r="F125" s="22" t="s">
        <v>18</v>
      </c>
      <c r="G125" s="24">
        <v>46265</v>
      </c>
      <c r="H125" s="21">
        <v>1</v>
      </c>
      <c r="I125" s="22" t="s">
        <v>19</v>
      </c>
      <c r="K125" s="20">
        <v>101</v>
      </c>
      <c r="L125" s="22" t="s">
        <v>447</v>
      </c>
      <c r="M125" s="22">
        <v>1</v>
      </c>
      <c r="N125" s="22">
        <v>31550109</v>
      </c>
      <c r="O125" s="25" t="s">
        <v>572</v>
      </c>
      <c r="Q125" s="22" t="s">
        <v>20</v>
      </c>
      <c r="R125" s="22" t="s">
        <v>18</v>
      </c>
      <c r="S125" s="20" t="s">
        <v>410</v>
      </c>
      <c r="T125" s="21">
        <v>19000</v>
      </c>
      <c r="U125" s="22" t="s">
        <v>656</v>
      </c>
      <c r="V125" s="21">
        <f t="shared" si="3"/>
        <v>250</v>
      </c>
      <c r="W125" s="22" t="str">
        <f>'PLANO DE SAÚDE'!C128</f>
        <v>15050</v>
      </c>
    </row>
    <row r="126" spans="1:23" s="20" customFormat="1" x14ac:dyDescent="0.3">
      <c r="A126" s="20" t="s">
        <v>16</v>
      </c>
      <c r="B126" s="21">
        <f t="shared" si="2"/>
        <v>251</v>
      </c>
      <c r="C126" s="21">
        <v>1</v>
      </c>
      <c r="D126" s="22" t="s">
        <v>17</v>
      </c>
      <c r="E126" s="23">
        <v>6605.6000000000022</v>
      </c>
      <c r="F126" s="22" t="s">
        <v>18</v>
      </c>
      <c r="G126" s="24">
        <v>46265</v>
      </c>
      <c r="H126" s="21">
        <v>1</v>
      </c>
      <c r="I126" s="22" t="s">
        <v>19</v>
      </c>
      <c r="K126" s="20">
        <v>101</v>
      </c>
      <c r="L126" s="22" t="s">
        <v>447</v>
      </c>
      <c r="M126" s="22">
        <v>1</v>
      </c>
      <c r="N126" s="22">
        <v>31550109</v>
      </c>
      <c r="O126" s="25" t="s">
        <v>573</v>
      </c>
      <c r="Q126" s="22" t="s">
        <v>20</v>
      </c>
      <c r="R126" s="22" t="s">
        <v>18</v>
      </c>
      <c r="S126" s="20" t="s">
        <v>403</v>
      </c>
      <c r="T126" s="21">
        <v>19000</v>
      </c>
      <c r="U126" s="22" t="s">
        <v>656</v>
      </c>
      <c r="V126" s="21">
        <f t="shared" si="3"/>
        <v>252</v>
      </c>
      <c r="W126" s="22" t="str">
        <f>'PLANO DE SAÚDE'!C129</f>
        <v>15051</v>
      </c>
    </row>
    <row r="127" spans="1:23" s="20" customFormat="1" x14ac:dyDescent="0.3">
      <c r="A127" s="20" t="s">
        <v>16</v>
      </c>
      <c r="B127" s="21">
        <f t="shared" si="2"/>
        <v>253</v>
      </c>
      <c r="C127" s="21">
        <v>1</v>
      </c>
      <c r="D127" s="22" t="s">
        <v>17</v>
      </c>
      <c r="E127" s="23">
        <v>10734.100000000006</v>
      </c>
      <c r="F127" s="22" t="s">
        <v>18</v>
      </c>
      <c r="G127" s="24">
        <v>46265</v>
      </c>
      <c r="H127" s="21">
        <v>1</v>
      </c>
      <c r="I127" s="22" t="s">
        <v>19</v>
      </c>
      <c r="K127" s="20">
        <v>101</v>
      </c>
      <c r="L127" s="22" t="s">
        <v>447</v>
      </c>
      <c r="M127" s="22">
        <v>1</v>
      </c>
      <c r="N127" s="22">
        <v>31550109</v>
      </c>
      <c r="O127" s="25" t="s">
        <v>574</v>
      </c>
      <c r="Q127" s="22" t="s">
        <v>20</v>
      </c>
      <c r="R127" s="22" t="s">
        <v>18</v>
      </c>
      <c r="S127" s="20" t="s">
        <v>362</v>
      </c>
      <c r="T127" s="21">
        <v>19000</v>
      </c>
      <c r="U127" s="22" t="s">
        <v>656</v>
      </c>
      <c r="V127" s="21">
        <f t="shared" si="3"/>
        <v>254</v>
      </c>
      <c r="W127" s="22" t="str">
        <f>'PLANO DE SAÚDE'!C130</f>
        <v>15056</v>
      </c>
    </row>
    <row r="128" spans="1:23" s="20" customFormat="1" x14ac:dyDescent="0.3">
      <c r="A128" s="20" t="s">
        <v>16</v>
      </c>
      <c r="B128" s="21">
        <f t="shared" si="2"/>
        <v>255</v>
      </c>
      <c r="C128" s="21">
        <v>1</v>
      </c>
      <c r="D128" s="22" t="s">
        <v>17</v>
      </c>
      <c r="E128" s="23">
        <v>7431.300000000002</v>
      </c>
      <c r="F128" s="22" t="s">
        <v>18</v>
      </c>
      <c r="G128" s="24">
        <v>46265</v>
      </c>
      <c r="H128" s="21">
        <v>1</v>
      </c>
      <c r="I128" s="22" t="s">
        <v>19</v>
      </c>
      <c r="K128" s="20">
        <v>101</v>
      </c>
      <c r="L128" s="22" t="s">
        <v>447</v>
      </c>
      <c r="M128" s="22">
        <v>1</v>
      </c>
      <c r="N128" s="22">
        <v>31550109</v>
      </c>
      <c r="O128" s="25" t="s">
        <v>575</v>
      </c>
      <c r="Q128" s="22" t="s">
        <v>20</v>
      </c>
      <c r="R128" s="22" t="s">
        <v>18</v>
      </c>
      <c r="S128" s="20" t="s">
        <v>363</v>
      </c>
      <c r="T128" s="21">
        <v>19000</v>
      </c>
      <c r="U128" s="22" t="s">
        <v>656</v>
      </c>
      <c r="V128" s="21">
        <f t="shared" si="3"/>
        <v>256</v>
      </c>
      <c r="W128" s="22" t="str">
        <f>'PLANO DE SAÚDE'!C131</f>
        <v>15058</v>
      </c>
    </row>
    <row r="129" spans="1:23" s="20" customFormat="1" x14ac:dyDescent="0.3">
      <c r="A129" s="20" t="s">
        <v>16</v>
      </c>
      <c r="B129" s="21">
        <f t="shared" si="2"/>
        <v>257</v>
      </c>
      <c r="C129" s="21">
        <v>1</v>
      </c>
      <c r="D129" s="22" t="s">
        <v>17</v>
      </c>
      <c r="E129" s="23">
        <v>7431.300000000002</v>
      </c>
      <c r="F129" s="22" t="s">
        <v>18</v>
      </c>
      <c r="G129" s="24">
        <v>46265</v>
      </c>
      <c r="H129" s="21">
        <v>1</v>
      </c>
      <c r="I129" s="22" t="s">
        <v>19</v>
      </c>
      <c r="K129" s="20">
        <v>101</v>
      </c>
      <c r="L129" s="22" t="s">
        <v>447</v>
      </c>
      <c r="M129" s="22">
        <v>1</v>
      </c>
      <c r="N129" s="22">
        <v>31550109</v>
      </c>
      <c r="O129" s="25" t="s">
        <v>576</v>
      </c>
      <c r="Q129" s="22" t="s">
        <v>20</v>
      </c>
      <c r="R129" s="22" t="s">
        <v>18</v>
      </c>
      <c r="S129" s="20" t="s">
        <v>372</v>
      </c>
      <c r="T129" s="21">
        <v>19000</v>
      </c>
      <c r="U129" s="22" t="s">
        <v>656</v>
      </c>
      <c r="V129" s="21">
        <f t="shared" si="3"/>
        <v>258</v>
      </c>
      <c r="W129" s="22" t="str">
        <f>'PLANO DE SAÚDE'!C132</f>
        <v>15059</v>
      </c>
    </row>
    <row r="130" spans="1:23" s="20" customFormat="1" x14ac:dyDescent="0.3">
      <c r="A130" s="20" t="s">
        <v>16</v>
      </c>
      <c r="B130" s="21">
        <f t="shared" si="2"/>
        <v>259</v>
      </c>
      <c r="C130" s="21">
        <v>1</v>
      </c>
      <c r="D130" s="22" t="s">
        <v>17</v>
      </c>
      <c r="E130" s="23">
        <v>7507.56</v>
      </c>
      <c r="F130" s="22" t="s">
        <v>18</v>
      </c>
      <c r="G130" s="24">
        <v>46265</v>
      </c>
      <c r="H130" s="21">
        <v>1</v>
      </c>
      <c r="I130" s="22" t="s">
        <v>19</v>
      </c>
      <c r="K130" s="20">
        <v>101</v>
      </c>
      <c r="L130" s="22" t="s">
        <v>447</v>
      </c>
      <c r="M130" s="22">
        <v>1</v>
      </c>
      <c r="N130" s="22">
        <v>31550109</v>
      </c>
      <c r="O130" s="25" t="s">
        <v>577</v>
      </c>
      <c r="Q130" s="22" t="s">
        <v>20</v>
      </c>
      <c r="R130" s="22" t="s">
        <v>18</v>
      </c>
      <c r="S130" s="20" t="s">
        <v>344</v>
      </c>
      <c r="T130" s="21">
        <v>19000</v>
      </c>
      <c r="U130" s="22" t="s">
        <v>656</v>
      </c>
      <c r="V130" s="21">
        <f t="shared" si="3"/>
        <v>260</v>
      </c>
      <c r="W130" s="22" t="str">
        <f>'PLANO DE SAÚDE'!C133</f>
        <v>21011</v>
      </c>
    </row>
    <row r="131" spans="1:23" s="20" customFormat="1" x14ac:dyDescent="0.3">
      <c r="A131" s="20" t="s">
        <v>16</v>
      </c>
      <c r="B131" s="21">
        <f t="shared" ref="B131:B194" si="4">B130+2</f>
        <v>261</v>
      </c>
      <c r="C131" s="21">
        <v>1</v>
      </c>
      <c r="D131" s="22" t="s">
        <v>17</v>
      </c>
      <c r="E131" s="23">
        <v>10422.93</v>
      </c>
      <c r="F131" s="22" t="s">
        <v>18</v>
      </c>
      <c r="G131" s="24">
        <v>46265</v>
      </c>
      <c r="H131" s="21">
        <v>1</v>
      </c>
      <c r="I131" s="22" t="s">
        <v>19</v>
      </c>
      <c r="K131" s="20">
        <v>101</v>
      </c>
      <c r="L131" s="22" t="s">
        <v>447</v>
      </c>
      <c r="M131" s="22">
        <v>1</v>
      </c>
      <c r="N131" s="22">
        <v>31550109</v>
      </c>
      <c r="O131" s="25" t="s">
        <v>578</v>
      </c>
      <c r="Q131" s="22" t="s">
        <v>20</v>
      </c>
      <c r="R131" s="22" t="s">
        <v>18</v>
      </c>
      <c r="S131" s="20" t="s">
        <v>355</v>
      </c>
      <c r="T131" s="21">
        <v>19000</v>
      </c>
      <c r="U131" s="22" t="s">
        <v>656</v>
      </c>
      <c r="V131" s="21">
        <f t="shared" ref="V131:V194" si="5">V130+2</f>
        <v>262</v>
      </c>
      <c r="W131" s="22" t="str">
        <f>'PLANO DE SAÚDE'!C134</f>
        <v>33010</v>
      </c>
    </row>
    <row r="132" spans="1:23" s="20" customFormat="1" x14ac:dyDescent="0.3">
      <c r="A132" s="20" t="s">
        <v>16</v>
      </c>
      <c r="B132" s="21">
        <f t="shared" si="4"/>
        <v>263</v>
      </c>
      <c r="C132" s="21">
        <v>1</v>
      </c>
      <c r="D132" s="22" t="s">
        <v>17</v>
      </c>
      <c r="E132" s="23">
        <v>8.0399999999999991</v>
      </c>
      <c r="F132" s="22" t="s">
        <v>18</v>
      </c>
      <c r="G132" s="24">
        <v>46265</v>
      </c>
      <c r="H132" s="21">
        <v>1</v>
      </c>
      <c r="I132" s="22" t="s">
        <v>19</v>
      </c>
      <c r="K132" s="20">
        <v>106</v>
      </c>
      <c r="L132" s="22" t="s">
        <v>447</v>
      </c>
      <c r="M132" s="22">
        <v>1</v>
      </c>
      <c r="N132" s="22">
        <v>31550109</v>
      </c>
      <c r="O132" s="25" t="s">
        <v>579</v>
      </c>
      <c r="Q132" s="22" t="s">
        <v>20</v>
      </c>
      <c r="R132" s="22" t="s">
        <v>18</v>
      </c>
      <c r="S132" s="20" t="s">
        <v>335</v>
      </c>
      <c r="T132" s="21">
        <v>19000</v>
      </c>
      <c r="U132" s="22" t="s">
        <v>656</v>
      </c>
      <c r="V132" s="21">
        <f t="shared" si="5"/>
        <v>264</v>
      </c>
      <c r="W132" s="22" t="e">
        <f>'PLANO DE SAÚDE'!#REF!</f>
        <v>#REF!</v>
      </c>
    </row>
    <row r="133" spans="1:23" s="20" customFormat="1" x14ac:dyDescent="0.3">
      <c r="A133" s="20" t="s">
        <v>16</v>
      </c>
      <c r="B133" s="21">
        <f t="shared" si="4"/>
        <v>265</v>
      </c>
      <c r="C133" s="21">
        <v>1</v>
      </c>
      <c r="D133" s="22" t="s">
        <v>17</v>
      </c>
      <c r="E133" s="23">
        <v>56.28</v>
      </c>
      <c r="F133" s="22" t="s">
        <v>18</v>
      </c>
      <c r="G133" s="24">
        <v>46265</v>
      </c>
      <c r="H133" s="21">
        <v>1</v>
      </c>
      <c r="I133" s="22" t="s">
        <v>19</v>
      </c>
      <c r="K133" s="20">
        <v>106</v>
      </c>
      <c r="L133" s="22" t="s">
        <v>447</v>
      </c>
      <c r="M133" s="22">
        <v>1</v>
      </c>
      <c r="N133" s="22">
        <v>31550109</v>
      </c>
      <c r="O133" s="25" t="s">
        <v>580</v>
      </c>
      <c r="Q133" s="22" t="s">
        <v>20</v>
      </c>
      <c r="R133" s="22" t="s">
        <v>18</v>
      </c>
      <c r="S133" s="20" t="s">
        <v>365</v>
      </c>
      <c r="T133" s="21">
        <v>19000</v>
      </c>
      <c r="U133" s="22" t="s">
        <v>656</v>
      </c>
      <c r="V133" s="21">
        <f t="shared" si="5"/>
        <v>266</v>
      </c>
      <c r="W133" s="22" t="e">
        <f>'PLANO DE SAÚDE'!#REF!</f>
        <v>#REF!</v>
      </c>
    </row>
    <row r="134" spans="1:23" s="20" customFormat="1" x14ac:dyDescent="0.3">
      <c r="A134" s="20" t="s">
        <v>16</v>
      </c>
      <c r="B134" s="21">
        <f t="shared" si="4"/>
        <v>267</v>
      </c>
      <c r="C134" s="21">
        <v>1</v>
      </c>
      <c r="D134" s="22" t="s">
        <v>17</v>
      </c>
      <c r="E134" s="23">
        <v>209.04</v>
      </c>
      <c r="F134" s="22" t="s">
        <v>18</v>
      </c>
      <c r="G134" s="24">
        <v>46265</v>
      </c>
      <c r="H134" s="21">
        <v>1</v>
      </c>
      <c r="I134" s="22" t="s">
        <v>19</v>
      </c>
      <c r="K134" s="20">
        <v>106</v>
      </c>
      <c r="L134" s="22" t="s">
        <v>447</v>
      </c>
      <c r="M134" s="22">
        <v>1</v>
      </c>
      <c r="N134" s="22">
        <v>31550109</v>
      </c>
      <c r="O134" s="25" t="s">
        <v>581</v>
      </c>
      <c r="Q134" s="22" t="s">
        <v>20</v>
      </c>
      <c r="R134" s="22" t="s">
        <v>18</v>
      </c>
      <c r="S134" s="20" t="s">
        <v>366</v>
      </c>
      <c r="T134" s="21">
        <v>19000</v>
      </c>
      <c r="U134" s="22" t="s">
        <v>656</v>
      </c>
      <c r="V134" s="21">
        <f t="shared" si="5"/>
        <v>268</v>
      </c>
      <c r="W134" s="22" t="str">
        <f>'PLANO DE SAÚDE'!C135</f>
        <v>13013</v>
      </c>
    </row>
    <row r="135" spans="1:23" s="20" customFormat="1" x14ac:dyDescent="0.3">
      <c r="A135" s="20" t="s">
        <v>16</v>
      </c>
      <c r="B135" s="21">
        <f t="shared" si="4"/>
        <v>269</v>
      </c>
      <c r="C135" s="21">
        <v>1</v>
      </c>
      <c r="D135" s="22" t="s">
        <v>17</v>
      </c>
      <c r="E135" s="23">
        <v>168.84</v>
      </c>
      <c r="F135" s="22" t="s">
        <v>18</v>
      </c>
      <c r="G135" s="24">
        <v>46265</v>
      </c>
      <c r="H135" s="21">
        <v>1</v>
      </c>
      <c r="I135" s="22" t="s">
        <v>19</v>
      </c>
      <c r="K135" s="20">
        <v>106</v>
      </c>
      <c r="L135" s="22" t="s">
        <v>447</v>
      </c>
      <c r="M135" s="22">
        <v>1</v>
      </c>
      <c r="N135" s="22">
        <v>31550109</v>
      </c>
      <c r="O135" s="25" t="s">
        <v>582</v>
      </c>
      <c r="Q135" s="22" t="s">
        <v>20</v>
      </c>
      <c r="R135" s="22" t="s">
        <v>18</v>
      </c>
      <c r="S135" s="20" t="s">
        <v>367</v>
      </c>
      <c r="T135" s="21">
        <v>19000</v>
      </c>
      <c r="U135" s="22" t="s">
        <v>656</v>
      </c>
      <c r="V135" s="21">
        <f t="shared" si="5"/>
        <v>270</v>
      </c>
      <c r="W135" s="22" t="str">
        <f>'PLANO DE SAÚDE'!C136</f>
        <v>32001</v>
      </c>
    </row>
    <row r="136" spans="1:23" s="20" customFormat="1" x14ac:dyDescent="0.3">
      <c r="A136" s="20" t="s">
        <v>16</v>
      </c>
      <c r="B136" s="21">
        <f t="shared" si="4"/>
        <v>271</v>
      </c>
      <c r="C136" s="21">
        <v>1</v>
      </c>
      <c r="D136" s="22" t="s">
        <v>17</v>
      </c>
      <c r="E136" s="23">
        <v>112.56</v>
      </c>
      <c r="F136" s="22" t="s">
        <v>18</v>
      </c>
      <c r="G136" s="24">
        <v>46265</v>
      </c>
      <c r="H136" s="21">
        <v>1</v>
      </c>
      <c r="I136" s="22" t="s">
        <v>19</v>
      </c>
      <c r="K136" s="20">
        <v>106</v>
      </c>
      <c r="L136" s="22" t="s">
        <v>447</v>
      </c>
      <c r="M136" s="22">
        <v>1</v>
      </c>
      <c r="N136" s="22">
        <v>31550109</v>
      </c>
      <c r="O136" s="25" t="s">
        <v>583</v>
      </c>
      <c r="Q136" s="22" t="s">
        <v>20</v>
      </c>
      <c r="R136" s="22" t="s">
        <v>18</v>
      </c>
      <c r="S136" s="20" t="s">
        <v>368</v>
      </c>
      <c r="T136" s="21">
        <v>19000</v>
      </c>
      <c r="U136" s="22" t="s">
        <v>656</v>
      </c>
      <c r="V136" s="21">
        <f t="shared" si="5"/>
        <v>272</v>
      </c>
      <c r="W136" s="22" t="str">
        <f>'PLANO DE SAÚDE'!C137</f>
        <v>32002</v>
      </c>
    </row>
    <row r="137" spans="1:23" s="20" customFormat="1" x14ac:dyDescent="0.3">
      <c r="A137" s="20" t="s">
        <v>16</v>
      </c>
      <c r="B137" s="21">
        <f t="shared" si="4"/>
        <v>273</v>
      </c>
      <c r="C137" s="21">
        <v>1</v>
      </c>
      <c r="D137" s="22" t="s">
        <v>17</v>
      </c>
      <c r="E137" s="23">
        <v>24.12</v>
      </c>
      <c r="F137" s="22" t="s">
        <v>18</v>
      </c>
      <c r="G137" s="24">
        <v>46265</v>
      </c>
      <c r="H137" s="21">
        <v>1</v>
      </c>
      <c r="I137" s="22" t="s">
        <v>19</v>
      </c>
      <c r="K137" s="20">
        <v>106</v>
      </c>
      <c r="L137" s="22" t="s">
        <v>447</v>
      </c>
      <c r="M137" s="22">
        <v>1</v>
      </c>
      <c r="N137" s="22">
        <v>31550109</v>
      </c>
      <c r="O137" s="25" t="s">
        <v>584</v>
      </c>
      <c r="Q137" s="22" t="s">
        <v>20</v>
      </c>
      <c r="R137" s="22" t="s">
        <v>18</v>
      </c>
      <c r="S137" s="20" t="s">
        <v>369</v>
      </c>
      <c r="T137" s="21">
        <v>19000</v>
      </c>
      <c r="U137" s="22" t="s">
        <v>656</v>
      </c>
      <c r="V137" s="21">
        <f t="shared" si="5"/>
        <v>274</v>
      </c>
      <c r="W137" s="22" t="str">
        <f>'PLANO DE SAÚDE'!C138</f>
        <v>32003</v>
      </c>
    </row>
    <row r="138" spans="1:23" s="20" customFormat="1" x14ac:dyDescent="0.3">
      <c r="A138" s="20" t="s">
        <v>16</v>
      </c>
      <c r="B138" s="21">
        <f t="shared" si="4"/>
        <v>275</v>
      </c>
      <c r="C138" s="21">
        <v>1</v>
      </c>
      <c r="D138" s="22" t="s">
        <v>17</v>
      </c>
      <c r="E138" s="23">
        <v>64.319999999999993</v>
      </c>
      <c r="F138" s="22" t="s">
        <v>18</v>
      </c>
      <c r="G138" s="24">
        <v>46265</v>
      </c>
      <c r="H138" s="21">
        <v>1</v>
      </c>
      <c r="I138" s="22" t="s">
        <v>19</v>
      </c>
      <c r="K138" s="20">
        <v>106</v>
      </c>
      <c r="L138" s="22" t="s">
        <v>447</v>
      </c>
      <c r="M138" s="22">
        <v>1</v>
      </c>
      <c r="N138" s="22">
        <v>31550109</v>
      </c>
      <c r="O138" s="25" t="s">
        <v>585</v>
      </c>
      <c r="Q138" s="22" t="s">
        <v>20</v>
      </c>
      <c r="R138" s="22" t="s">
        <v>18</v>
      </c>
      <c r="S138" s="20" t="s">
        <v>370</v>
      </c>
      <c r="T138" s="21">
        <v>19000</v>
      </c>
      <c r="U138" s="22" t="s">
        <v>656</v>
      </c>
      <c r="V138" s="21">
        <f t="shared" si="5"/>
        <v>276</v>
      </c>
      <c r="W138" s="22" t="str">
        <f>'PLANO DE SAÚDE'!C139</f>
        <v>32007</v>
      </c>
    </row>
    <row r="139" spans="1:23" s="20" customFormat="1" x14ac:dyDescent="0.3">
      <c r="A139" s="20" t="s">
        <v>16</v>
      </c>
      <c r="B139" s="21">
        <f t="shared" si="4"/>
        <v>277</v>
      </c>
      <c r="C139" s="21">
        <v>1</v>
      </c>
      <c r="D139" s="22" t="s">
        <v>17</v>
      </c>
      <c r="E139" s="23">
        <v>297.48</v>
      </c>
      <c r="F139" s="22" t="s">
        <v>18</v>
      </c>
      <c r="G139" s="24">
        <v>46265</v>
      </c>
      <c r="H139" s="21">
        <v>1</v>
      </c>
      <c r="I139" s="22" t="s">
        <v>19</v>
      </c>
      <c r="K139" s="20">
        <v>106</v>
      </c>
      <c r="L139" s="22" t="s">
        <v>447</v>
      </c>
      <c r="M139" s="22">
        <v>1</v>
      </c>
      <c r="N139" s="22">
        <v>31550109</v>
      </c>
      <c r="O139" s="25" t="s">
        <v>586</v>
      </c>
      <c r="Q139" s="22" t="s">
        <v>20</v>
      </c>
      <c r="R139" s="22" t="s">
        <v>18</v>
      </c>
      <c r="S139" s="20" t="s">
        <v>362</v>
      </c>
      <c r="T139" s="21">
        <v>19000</v>
      </c>
      <c r="U139" s="22" t="s">
        <v>656</v>
      </c>
      <c r="V139" s="21">
        <f t="shared" si="5"/>
        <v>278</v>
      </c>
      <c r="W139" s="22" t="str">
        <f>'PLANO DE SAÚDE'!C140</f>
        <v>32100</v>
      </c>
    </row>
    <row r="140" spans="1:23" s="20" customFormat="1" x14ac:dyDescent="0.3">
      <c r="A140" s="20" t="s">
        <v>16</v>
      </c>
      <c r="B140" s="21">
        <f t="shared" si="4"/>
        <v>279</v>
      </c>
      <c r="C140" s="21">
        <v>1</v>
      </c>
      <c r="D140" s="22" t="s">
        <v>17</v>
      </c>
      <c r="E140" s="23">
        <v>176.88</v>
      </c>
      <c r="F140" s="22" t="s">
        <v>18</v>
      </c>
      <c r="G140" s="24">
        <v>46265</v>
      </c>
      <c r="H140" s="21">
        <v>1</v>
      </c>
      <c r="I140" s="22" t="s">
        <v>19</v>
      </c>
      <c r="K140" s="20">
        <v>106</v>
      </c>
      <c r="L140" s="22" t="s">
        <v>447</v>
      </c>
      <c r="M140" s="22">
        <v>1</v>
      </c>
      <c r="N140" s="22">
        <v>31550109</v>
      </c>
      <c r="O140" s="25" t="s">
        <v>587</v>
      </c>
      <c r="Q140" s="22" t="s">
        <v>20</v>
      </c>
      <c r="R140" s="22" t="s">
        <v>18</v>
      </c>
      <c r="S140" s="20" t="s">
        <v>363</v>
      </c>
      <c r="T140" s="21">
        <v>19000</v>
      </c>
      <c r="U140" s="22" t="s">
        <v>656</v>
      </c>
      <c r="V140" s="21">
        <f t="shared" si="5"/>
        <v>280</v>
      </c>
      <c r="W140" s="22" t="str">
        <f>'PLANO DE SAÚDE'!C141</f>
        <v>34001</v>
      </c>
    </row>
    <row r="141" spans="1:23" s="20" customFormat="1" x14ac:dyDescent="0.3">
      <c r="A141" s="20" t="s">
        <v>16</v>
      </c>
      <c r="B141" s="21">
        <f t="shared" si="4"/>
        <v>281</v>
      </c>
      <c r="C141" s="21">
        <v>1</v>
      </c>
      <c r="D141" s="22" t="s">
        <v>17</v>
      </c>
      <c r="E141" s="23">
        <v>152.76</v>
      </c>
      <c r="F141" s="22" t="s">
        <v>18</v>
      </c>
      <c r="G141" s="24">
        <v>46265</v>
      </c>
      <c r="H141" s="21">
        <v>1</v>
      </c>
      <c r="I141" s="22" t="s">
        <v>19</v>
      </c>
      <c r="K141" s="20">
        <v>104</v>
      </c>
      <c r="L141" s="22" t="s">
        <v>447</v>
      </c>
      <c r="M141" s="22">
        <v>1</v>
      </c>
      <c r="N141" s="22">
        <v>31550109</v>
      </c>
      <c r="O141" s="25" t="s">
        <v>588</v>
      </c>
      <c r="Q141" s="22" t="s">
        <v>20</v>
      </c>
      <c r="R141" s="22" t="s">
        <v>18</v>
      </c>
      <c r="S141" s="20" t="s">
        <v>372</v>
      </c>
      <c r="T141" s="21">
        <v>19000</v>
      </c>
      <c r="U141" s="22" t="s">
        <v>656</v>
      </c>
      <c r="V141" s="21">
        <f t="shared" si="5"/>
        <v>282</v>
      </c>
      <c r="W141" s="22" t="e">
        <f>'PLANO DE SAÚDE'!#REF!</f>
        <v>#REF!</v>
      </c>
    </row>
    <row r="142" spans="1:23" s="20" customFormat="1" x14ac:dyDescent="0.3">
      <c r="A142" s="20" t="s">
        <v>16</v>
      </c>
      <c r="B142" s="21">
        <f t="shared" si="4"/>
        <v>283</v>
      </c>
      <c r="C142" s="21">
        <v>1</v>
      </c>
      <c r="D142" s="22" t="s">
        <v>17</v>
      </c>
      <c r="E142" s="23">
        <v>48.24</v>
      </c>
      <c r="F142" s="22" t="s">
        <v>18</v>
      </c>
      <c r="G142" s="24">
        <v>46265</v>
      </c>
      <c r="H142" s="21">
        <v>1</v>
      </c>
      <c r="I142" s="22" t="s">
        <v>19</v>
      </c>
      <c r="K142" s="20">
        <v>104</v>
      </c>
      <c r="L142" s="22" t="s">
        <v>447</v>
      </c>
      <c r="M142" s="22">
        <v>1</v>
      </c>
      <c r="N142" s="22">
        <v>31550109</v>
      </c>
      <c r="O142" s="25" t="s">
        <v>589</v>
      </c>
      <c r="Q142" s="22" t="s">
        <v>20</v>
      </c>
      <c r="R142" s="22" t="s">
        <v>18</v>
      </c>
      <c r="S142" s="20" t="s">
        <v>371</v>
      </c>
      <c r="T142" s="21">
        <v>19000</v>
      </c>
      <c r="U142" s="22" t="s">
        <v>656</v>
      </c>
      <c r="V142" s="21">
        <f t="shared" si="5"/>
        <v>284</v>
      </c>
      <c r="W142" s="22" t="str">
        <f>'PLANO DE SAÚDE'!C142</f>
        <v>15056</v>
      </c>
    </row>
    <row r="143" spans="1:23" s="20" customFormat="1" x14ac:dyDescent="0.3">
      <c r="A143" s="20" t="s">
        <v>16</v>
      </c>
      <c r="B143" s="21">
        <f t="shared" si="4"/>
        <v>285</v>
      </c>
      <c r="C143" s="21">
        <v>1</v>
      </c>
      <c r="D143" s="22" t="s">
        <v>17</v>
      </c>
      <c r="E143" s="23">
        <v>213.6</v>
      </c>
      <c r="F143" s="22" t="s">
        <v>18</v>
      </c>
      <c r="G143" s="24">
        <v>46265</v>
      </c>
      <c r="H143" s="21">
        <v>1</v>
      </c>
      <c r="I143" s="22" t="s">
        <v>19</v>
      </c>
      <c r="K143" s="20">
        <v>101</v>
      </c>
      <c r="L143" s="22" t="s">
        <v>447</v>
      </c>
      <c r="M143" s="22">
        <v>1</v>
      </c>
      <c r="N143" s="22">
        <v>31550109</v>
      </c>
      <c r="O143" s="25" t="s">
        <v>590</v>
      </c>
      <c r="Q143" s="22" t="s">
        <v>20</v>
      </c>
      <c r="R143" s="22" t="s">
        <v>18</v>
      </c>
      <c r="S143" s="20" t="s">
        <v>333</v>
      </c>
      <c r="T143" s="21">
        <v>19000</v>
      </c>
      <c r="U143" s="22" t="s">
        <v>656</v>
      </c>
      <c r="V143" s="21">
        <f t="shared" si="5"/>
        <v>286</v>
      </c>
      <c r="W143" s="22" t="str">
        <f>'PLANO DE SAÚDE'!C143</f>
        <v>15058</v>
      </c>
    </row>
    <row r="144" spans="1:23" s="20" customFormat="1" x14ac:dyDescent="0.3">
      <c r="A144" s="20" t="s">
        <v>16</v>
      </c>
      <c r="B144" s="21">
        <f t="shared" si="4"/>
        <v>287</v>
      </c>
      <c r="C144" s="21">
        <v>1</v>
      </c>
      <c r="D144" s="22" t="s">
        <v>17</v>
      </c>
      <c r="E144" s="23">
        <v>48</v>
      </c>
      <c r="F144" s="22" t="s">
        <v>18</v>
      </c>
      <c r="G144" s="24">
        <v>46265</v>
      </c>
      <c r="H144" s="21">
        <v>1</v>
      </c>
      <c r="I144" s="22" t="s">
        <v>19</v>
      </c>
      <c r="K144" s="20">
        <v>101</v>
      </c>
      <c r="L144" s="22" t="s">
        <v>447</v>
      </c>
      <c r="M144" s="22">
        <v>1</v>
      </c>
      <c r="N144" s="22">
        <v>31550109</v>
      </c>
      <c r="O144" s="25" t="s">
        <v>591</v>
      </c>
      <c r="Q144" s="22" t="s">
        <v>20</v>
      </c>
      <c r="R144" s="22" t="s">
        <v>18</v>
      </c>
      <c r="S144" s="20" t="s">
        <v>335</v>
      </c>
      <c r="T144" s="21">
        <v>19000</v>
      </c>
      <c r="U144" s="22" t="s">
        <v>656</v>
      </c>
      <c r="V144" s="21">
        <f t="shared" si="5"/>
        <v>288</v>
      </c>
      <c r="W144" s="22" t="str">
        <f>'PLANO DE SAÚDE'!C144</f>
        <v>15059</v>
      </c>
    </row>
    <row r="145" spans="1:23" s="20" customFormat="1" x14ac:dyDescent="0.3">
      <c r="A145" s="20" t="s">
        <v>16</v>
      </c>
      <c r="B145" s="21">
        <f t="shared" si="4"/>
        <v>289</v>
      </c>
      <c r="C145" s="21">
        <v>1</v>
      </c>
      <c r="D145" s="22" t="s">
        <v>17</v>
      </c>
      <c r="E145" s="23">
        <v>105</v>
      </c>
      <c r="F145" s="22" t="s">
        <v>18</v>
      </c>
      <c r="G145" s="24">
        <v>46265</v>
      </c>
      <c r="H145" s="21">
        <v>1</v>
      </c>
      <c r="I145" s="22" t="s">
        <v>19</v>
      </c>
      <c r="K145" s="20">
        <v>101</v>
      </c>
      <c r="L145" s="22" t="s">
        <v>447</v>
      </c>
      <c r="M145" s="22">
        <v>1</v>
      </c>
      <c r="N145" s="22">
        <v>31550109</v>
      </c>
      <c r="O145" s="25" t="s">
        <v>592</v>
      </c>
      <c r="Q145" s="22" t="s">
        <v>20</v>
      </c>
      <c r="R145" s="22" t="s">
        <v>18</v>
      </c>
      <c r="S145" s="20" t="s">
        <v>400</v>
      </c>
      <c r="T145" s="21">
        <v>19000</v>
      </c>
      <c r="U145" s="22" t="s">
        <v>656</v>
      </c>
      <c r="V145" s="21">
        <f t="shared" si="5"/>
        <v>290</v>
      </c>
      <c r="W145" s="22" t="str">
        <f>'PLANO DE SAÚDE'!C145</f>
        <v>22002</v>
      </c>
    </row>
    <row r="146" spans="1:23" s="20" customFormat="1" x14ac:dyDescent="0.3">
      <c r="A146" s="20" t="s">
        <v>16</v>
      </c>
      <c r="B146" s="21">
        <f t="shared" si="4"/>
        <v>291</v>
      </c>
      <c r="C146" s="21">
        <v>1</v>
      </c>
      <c r="D146" s="22" t="s">
        <v>17</v>
      </c>
      <c r="E146" s="23">
        <v>85</v>
      </c>
      <c r="F146" s="22" t="s">
        <v>18</v>
      </c>
      <c r="G146" s="24">
        <v>46265</v>
      </c>
      <c r="H146" s="21">
        <v>1</v>
      </c>
      <c r="I146" s="22" t="s">
        <v>19</v>
      </c>
      <c r="K146" s="20">
        <v>101</v>
      </c>
      <c r="L146" s="22" t="s">
        <v>447</v>
      </c>
      <c r="M146" s="22">
        <v>1</v>
      </c>
      <c r="N146" s="22">
        <v>31550109</v>
      </c>
      <c r="O146" s="25" t="s">
        <v>593</v>
      </c>
      <c r="Q146" s="22" t="s">
        <v>20</v>
      </c>
      <c r="R146" s="22" t="s">
        <v>18</v>
      </c>
      <c r="S146" s="20" t="s">
        <v>401</v>
      </c>
      <c r="T146" s="21">
        <v>19000</v>
      </c>
      <c r="U146" s="22" t="s">
        <v>656</v>
      </c>
      <c r="V146" s="21">
        <f t="shared" si="5"/>
        <v>292</v>
      </c>
      <c r="W146" s="22" t="e">
        <f>'PLANO DE SAÚDE'!#REF!</f>
        <v>#REF!</v>
      </c>
    </row>
    <row r="147" spans="1:23" s="20" customFormat="1" x14ac:dyDescent="0.3">
      <c r="A147" s="20" t="s">
        <v>16</v>
      </c>
      <c r="B147" s="21">
        <f t="shared" si="4"/>
        <v>293</v>
      </c>
      <c r="C147" s="21">
        <v>1</v>
      </c>
      <c r="D147" s="22" t="s">
        <v>17</v>
      </c>
      <c r="E147" s="23">
        <v>224.15</v>
      </c>
      <c r="F147" s="22" t="s">
        <v>18</v>
      </c>
      <c r="G147" s="24">
        <v>46265</v>
      </c>
      <c r="H147" s="21">
        <v>1</v>
      </c>
      <c r="I147" s="22" t="s">
        <v>19</v>
      </c>
      <c r="K147" s="20">
        <v>101</v>
      </c>
      <c r="L147" s="22" t="s">
        <v>447</v>
      </c>
      <c r="M147" s="22">
        <v>1</v>
      </c>
      <c r="N147" s="22">
        <v>31550109</v>
      </c>
      <c r="O147" s="25" t="s">
        <v>594</v>
      </c>
      <c r="Q147" s="22" t="s">
        <v>20</v>
      </c>
      <c r="R147" s="22" t="s">
        <v>18</v>
      </c>
      <c r="S147" s="20" t="s">
        <v>402</v>
      </c>
      <c r="T147" s="21">
        <v>19000</v>
      </c>
      <c r="U147" s="22" t="s">
        <v>656</v>
      </c>
      <c r="V147" s="21">
        <f t="shared" si="5"/>
        <v>294</v>
      </c>
      <c r="W147" s="22" t="e">
        <f>'PLANO DE SAÚDE'!#REF!</f>
        <v>#REF!</v>
      </c>
    </row>
    <row r="148" spans="1:23" s="20" customFormat="1" x14ac:dyDescent="0.3">
      <c r="A148" s="20" t="s">
        <v>16</v>
      </c>
      <c r="B148" s="21">
        <f t="shared" si="4"/>
        <v>295</v>
      </c>
      <c r="C148" s="21">
        <v>1</v>
      </c>
      <c r="D148" s="22" t="s">
        <v>17</v>
      </c>
      <c r="E148" s="23">
        <v>222</v>
      </c>
      <c r="F148" s="22" t="s">
        <v>18</v>
      </c>
      <c r="G148" s="24">
        <v>46265</v>
      </c>
      <c r="H148" s="21">
        <v>1</v>
      </c>
      <c r="I148" s="22" t="s">
        <v>19</v>
      </c>
      <c r="K148" s="20">
        <v>101</v>
      </c>
      <c r="L148" s="22" t="s">
        <v>447</v>
      </c>
      <c r="M148" s="22">
        <v>1</v>
      </c>
      <c r="N148" s="22">
        <v>31550109</v>
      </c>
      <c r="O148" s="25" t="s">
        <v>595</v>
      </c>
      <c r="Q148" s="22" t="s">
        <v>20</v>
      </c>
      <c r="R148" s="22" t="s">
        <v>18</v>
      </c>
      <c r="S148" s="20" t="s">
        <v>345</v>
      </c>
      <c r="T148" s="21">
        <v>19000</v>
      </c>
      <c r="U148" s="22" t="s">
        <v>656</v>
      </c>
      <c r="V148" s="21">
        <f t="shared" si="5"/>
        <v>296</v>
      </c>
      <c r="W148" s="22" t="str">
        <f>'PLANO DE SAÚDE'!C146</f>
        <v>13011</v>
      </c>
    </row>
    <row r="149" spans="1:23" s="20" customFormat="1" x14ac:dyDescent="0.3">
      <c r="A149" s="20" t="s">
        <v>16</v>
      </c>
      <c r="B149" s="21">
        <f t="shared" si="4"/>
        <v>297</v>
      </c>
      <c r="C149" s="21">
        <v>1</v>
      </c>
      <c r="D149" s="22" t="s">
        <v>17</v>
      </c>
      <c r="E149" s="23">
        <v>175.45</v>
      </c>
      <c r="F149" s="22" t="s">
        <v>18</v>
      </c>
      <c r="G149" s="24">
        <v>46265</v>
      </c>
      <c r="H149" s="21">
        <v>1</v>
      </c>
      <c r="I149" s="22" t="s">
        <v>19</v>
      </c>
      <c r="K149" s="20">
        <v>101</v>
      </c>
      <c r="L149" s="22" t="s">
        <v>447</v>
      </c>
      <c r="M149" s="22">
        <v>1</v>
      </c>
      <c r="N149" s="22">
        <v>31550109</v>
      </c>
      <c r="O149" s="25" t="s">
        <v>596</v>
      </c>
      <c r="Q149" s="22" t="s">
        <v>20</v>
      </c>
      <c r="R149" s="22" t="s">
        <v>18</v>
      </c>
      <c r="S149" s="20" t="s">
        <v>346</v>
      </c>
      <c r="T149" s="21">
        <v>19000</v>
      </c>
      <c r="U149" s="22" t="s">
        <v>656</v>
      </c>
      <c r="V149" s="21">
        <f t="shared" si="5"/>
        <v>298</v>
      </c>
      <c r="W149" s="22" t="str">
        <f>'PLANO DE SAÚDE'!C147</f>
        <v>13013</v>
      </c>
    </row>
    <row r="150" spans="1:23" s="20" customFormat="1" x14ac:dyDescent="0.3">
      <c r="A150" s="20" t="s">
        <v>16</v>
      </c>
      <c r="B150" s="21">
        <f t="shared" si="4"/>
        <v>299</v>
      </c>
      <c r="C150" s="21">
        <v>1</v>
      </c>
      <c r="D150" s="22" t="s">
        <v>17</v>
      </c>
      <c r="E150" s="23">
        <v>1013.6</v>
      </c>
      <c r="F150" s="22" t="s">
        <v>18</v>
      </c>
      <c r="G150" s="24">
        <v>46265</v>
      </c>
      <c r="H150" s="21">
        <v>1</v>
      </c>
      <c r="I150" s="22" t="s">
        <v>19</v>
      </c>
      <c r="K150" s="20">
        <v>101</v>
      </c>
      <c r="L150" s="22" t="s">
        <v>447</v>
      </c>
      <c r="M150" s="22">
        <v>1</v>
      </c>
      <c r="N150" s="22">
        <v>31550109</v>
      </c>
      <c r="O150" s="25" t="s">
        <v>597</v>
      </c>
      <c r="Q150" s="22" t="s">
        <v>20</v>
      </c>
      <c r="R150" s="22" t="s">
        <v>18</v>
      </c>
      <c r="S150" s="20" t="s">
        <v>347</v>
      </c>
      <c r="T150" s="21">
        <v>19000</v>
      </c>
      <c r="U150" s="22" t="s">
        <v>656</v>
      </c>
      <c r="V150" s="21">
        <f t="shared" si="5"/>
        <v>300</v>
      </c>
      <c r="W150" s="22" t="str">
        <f>'PLANO DE SAÚDE'!C148</f>
        <v>13017</v>
      </c>
    </row>
    <row r="151" spans="1:23" s="20" customFormat="1" x14ac:dyDescent="0.3">
      <c r="A151" s="20" t="s">
        <v>16</v>
      </c>
      <c r="B151" s="21">
        <f t="shared" si="4"/>
        <v>301</v>
      </c>
      <c r="C151" s="21">
        <v>1</v>
      </c>
      <c r="D151" s="22" t="s">
        <v>17</v>
      </c>
      <c r="E151" s="23">
        <v>132</v>
      </c>
      <c r="F151" s="22" t="s">
        <v>18</v>
      </c>
      <c r="G151" s="24">
        <v>46265</v>
      </c>
      <c r="H151" s="21">
        <v>1</v>
      </c>
      <c r="I151" s="22" t="s">
        <v>19</v>
      </c>
      <c r="K151" s="20">
        <v>101</v>
      </c>
      <c r="L151" s="22" t="s">
        <v>447</v>
      </c>
      <c r="M151" s="22">
        <v>1</v>
      </c>
      <c r="N151" s="22">
        <v>31550109</v>
      </c>
      <c r="O151" s="25" t="s">
        <v>598</v>
      </c>
      <c r="Q151" s="22" t="s">
        <v>20</v>
      </c>
      <c r="R151" s="22" t="s">
        <v>18</v>
      </c>
      <c r="S151" s="20" t="s">
        <v>348</v>
      </c>
      <c r="T151" s="21">
        <v>19000</v>
      </c>
      <c r="U151" s="22" t="s">
        <v>656</v>
      </c>
      <c r="V151" s="21">
        <f t="shared" si="5"/>
        <v>302</v>
      </c>
      <c r="W151" s="22" t="str">
        <f>'PLANO DE SAÚDE'!C149</f>
        <v>13019</v>
      </c>
    </row>
    <row r="152" spans="1:23" s="20" customFormat="1" x14ac:dyDescent="0.3">
      <c r="A152" s="20" t="s">
        <v>16</v>
      </c>
      <c r="B152" s="21">
        <f t="shared" si="4"/>
        <v>303</v>
      </c>
      <c r="C152" s="21">
        <v>1</v>
      </c>
      <c r="D152" s="22" t="s">
        <v>17</v>
      </c>
      <c r="E152" s="23">
        <v>968.90000000000009</v>
      </c>
      <c r="F152" s="22" t="s">
        <v>18</v>
      </c>
      <c r="G152" s="24">
        <v>46265</v>
      </c>
      <c r="H152" s="21">
        <v>1</v>
      </c>
      <c r="I152" s="22" t="s">
        <v>19</v>
      </c>
      <c r="K152" s="20">
        <v>101</v>
      </c>
      <c r="L152" s="22" t="s">
        <v>447</v>
      </c>
      <c r="M152" s="22">
        <v>1</v>
      </c>
      <c r="N152" s="22">
        <v>31550109</v>
      </c>
      <c r="O152" s="25" t="s">
        <v>599</v>
      </c>
      <c r="Q152" s="22" t="s">
        <v>20</v>
      </c>
      <c r="R152" s="22" t="s">
        <v>18</v>
      </c>
      <c r="S152" s="20" t="s">
        <v>349</v>
      </c>
      <c r="T152" s="21">
        <v>19000</v>
      </c>
      <c r="U152" s="22" t="s">
        <v>656</v>
      </c>
      <c r="V152" s="21">
        <f t="shared" si="5"/>
        <v>304</v>
      </c>
      <c r="W152" s="22" t="str">
        <f>'PLANO DE SAÚDE'!C150</f>
        <v>13021</v>
      </c>
    </row>
    <row r="153" spans="1:23" s="20" customFormat="1" x14ac:dyDescent="0.3">
      <c r="A153" s="20" t="s">
        <v>16</v>
      </c>
      <c r="B153" s="21">
        <f t="shared" si="4"/>
        <v>305</v>
      </c>
      <c r="C153" s="21">
        <v>1</v>
      </c>
      <c r="D153" s="22" t="s">
        <v>17</v>
      </c>
      <c r="E153" s="23">
        <v>35</v>
      </c>
      <c r="F153" s="22" t="s">
        <v>18</v>
      </c>
      <c r="G153" s="24">
        <v>46265</v>
      </c>
      <c r="H153" s="21">
        <v>1</v>
      </c>
      <c r="I153" s="22" t="s">
        <v>19</v>
      </c>
      <c r="K153" s="20">
        <v>101</v>
      </c>
      <c r="L153" s="22" t="s">
        <v>447</v>
      </c>
      <c r="M153" s="22">
        <v>1</v>
      </c>
      <c r="N153" s="22">
        <v>31550109</v>
      </c>
      <c r="O153" s="25" t="s">
        <v>600</v>
      </c>
      <c r="Q153" s="22" t="s">
        <v>20</v>
      </c>
      <c r="R153" s="22" t="s">
        <v>18</v>
      </c>
      <c r="S153" s="20" t="s">
        <v>405</v>
      </c>
      <c r="T153" s="21">
        <v>19000</v>
      </c>
      <c r="U153" s="22" t="s">
        <v>656</v>
      </c>
      <c r="V153" s="21">
        <f t="shared" si="5"/>
        <v>306</v>
      </c>
      <c r="W153" s="22" t="str">
        <f>'PLANO DE SAÚDE'!C151</f>
        <v>21012</v>
      </c>
    </row>
    <row r="154" spans="1:23" s="20" customFormat="1" x14ac:dyDescent="0.3">
      <c r="A154" s="20" t="s">
        <v>16</v>
      </c>
      <c r="B154" s="21">
        <f t="shared" si="4"/>
        <v>307</v>
      </c>
      <c r="C154" s="21">
        <v>1</v>
      </c>
      <c r="D154" s="22" t="s">
        <v>17</v>
      </c>
      <c r="E154" s="23">
        <v>142</v>
      </c>
      <c r="F154" s="22" t="s">
        <v>18</v>
      </c>
      <c r="G154" s="24">
        <v>46265</v>
      </c>
      <c r="H154" s="21">
        <v>1</v>
      </c>
      <c r="I154" s="22" t="s">
        <v>19</v>
      </c>
      <c r="K154" s="20">
        <v>101</v>
      </c>
      <c r="L154" s="22" t="s">
        <v>447</v>
      </c>
      <c r="M154" s="22">
        <v>1</v>
      </c>
      <c r="N154" s="22">
        <v>31550109</v>
      </c>
      <c r="O154" s="25" t="s">
        <v>601</v>
      </c>
      <c r="Q154" s="22" t="s">
        <v>20</v>
      </c>
      <c r="R154" s="22" t="s">
        <v>18</v>
      </c>
      <c r="S154" s="20" t="s">
        <v>350</v>
      </c>
      <c r="T154" s="21">
        <v>19000</v>
      </c>
      <c r="U154" s="22" t="s">
        <v>656</v>
      </c>
      <c r="V154" s="21">
        <f t="shared" si="5"/>
        <v>308</v>
      </c>
      <c r="W154" s="22" t="str">
        <f>'PLANO DE SAÚDE'!C152</f>
        <v>31040</v>
      </c>
    </row>
    <row r="155" spans="1:23" s="20" customFormat="1" x14ac:dyDescent="0.3">
      <c r="A155" s="20" t="s">
        <v>16</v>
      </c>
      <c r="B155" s="21">
        <f t="shared" si="4"/>
        <v>309</v>
      </c>
      <c r="C155" s="21">
        <v>1</v>
      </c>
      <c r="D155" s="22" t="s">
        <v>17</v>
      </c>
      <c r="E155" s="23">
        <v>195</v>
      </c>
      <c r="F155" s="22" t="s">
        <v>18</v>
      </c>
      <c r="G155" s="24">
        <v>46265</v>
      </c>
      <c r="H155" s="21">
        <v>1</v>
      </c>
      <c r="I155" s="22" t="s">
        <v>19</v>
      </c>
      <c r="K155" s="20">
        <v>101</v>
      </c>
      <c r="L155" s="22" t="s">
        <v>447</v>
      </c>
      <c r="M155" s="22">
        <v>1</v>
      </c>
      <c r="N155" s="22">
        <v>31550109</v>
      </c>
      <c r="O155" s="25" t="s">
        <v>602</v>
      </c>
      <c r="Q155" s="22" t="s">
        <v>20</v>
      </c>
      <c r="R155" s="22" t="s">
        <v>18</v>
      </c>
      <c r="S155" s="20" t="s">
        <v>351</v>
      </c>
      <c r="T155" s="21">
        <v>19000</v>
      </c>
      <c r="U155" s="22" t="s">
        <v>656</v>
      </c>
      <c r="V155" s="21">
        <f t="shared" si="5"/>
        <v>310</v>
      </c>
      <c r="W155" s="22" t="str">
        <f>'PLANO DE SAÚDE'!C153</f>
        <v>31060</v>
      </c>
    </row>
    <row r="156" spans="1:23" s="20" customFormat="1" x14ac:dyDescent="0.3">
      <c r="A156" s="20" t="s">
        <v>16</v>
      </c>
      <c r="B156" s="21">
        <f t="shared" si="4"/>
        <v>311</v>
      </c>
      <c r="C156" s="21">
        <v>1</v>
      </c>
      <c r="D156" s="22" t="s">
        <v>17</v>
      </c>
      <c r="E156" s="23">
        <v>470</v>
      </c>
      <c r="F156" s="22" t="s">
        <v>18</v>
      </c>
      <c r="G156" s="24">
        <v>46265</v>
      </c>
      <c r="H156" s="21">
        <v>1</v>
      </c>
      <c r="I156" s="22" t="s">
        <v>19</v>
      </c>
      <c r="K156" s="20">
        <v>101</v>
      </c>
      <c r="L156" s="22" t="s">
        <v>447</v>
      </c>
      <c r="M156" s="22">
        <v>1</v>
      </c>
      <c r="N156" s="22">
        <v>31550109</v>
      </c>
      <c r="O156" s="25" t="s">
        <v>603</v>
      </c>
      <c r="Q156" s="22" t="s">
        <v>20</v>
      </c>
      <c r="R156" s="22" t="s">
        <v>18</v>
      </c>
      <c r="S156" s="20" t="s">
        <v>352</v>
      </c>
      <c r="T156" s="21">
        <v>19000</v>
      </c>
      <c r="U156" s="22" t="s">
        <v>656</v>
      </c>
      <c r="V156" s="21">
        <f t="shared" si="5"/>
        <v>312</v>
      </c>
      <c r="W156" s="22" t="str">
        <f>'PLANO DE SAÚDE'!C154</f>
        <v>31070</v>
      </c>
    </row>
    <row r="157" spans="1:23" s="20" customFormat="1" x14ac:dyDescent="0.3">
      <c r="A157" s="20" t="s">
        <v>16</v>
      </c>
      <c r="B157" s="21">
        <f t="shared" si="4"/>
        <v>313</v>
      </c>
      <c r="C157" s="21">
        <v>1</v>
      </c>
      <c r="D157" s="22" t="s">
        <v>17</v>
      </c>
      <c r="E157" s="23">
        <v>172</v>
      </c>
      <c r="F157" s="22" t="s">
        <v>18</v>
      </c>
      <c r="G157" s="24">
        <v>46265</v>
      </c>
      <c r="H157" s="21">
        <v>1</v>
      </c>
      <c r="I157" s="22" t="s">
        <v>19</v>
      </c>
      <c r="K157" s="20">
        <v>101</v>
      </c>
      <c r="L157" s="22" t="s">
        <v>447</v>
      </c>
      <c r="M157" s="22">
        <v>1</v>
      </c>
      <c r="N157" s="22">
        <v>31550109</v>
      </c>
      <c r="O157" s="25" t="s">
        <v>604</v>
      </c>
      <c r="Q157" s="22" t="s">
        <v>20</v>
      </c>
      <c r="R157" s="22" t="s">
        <v>18</v>
      </c>
      <c r="S157" s="20" t="s">
        <v>353</v>
      </c>
      <c r="T157" s="21">
        <v>19000</v>
      </c>
      <c r="U157" s="22" t="s">
        <v>656</v>
      </c>
      <c r="V157" s="21">
        <f t="shared" si="5"/>
        <v>314</v>
      </c>
      <c r="W157" s="22" t="str">
        <f>'PLANO DE SAÚDE'!C155</f>
        <v>31090</v>
      </c>
    </row>
    <row r="158" spans="1:23" s="20" customFormat="1" x14ac:dyDescent="0.3">
      <c r="A158" s="20" t="s">
        <v>16</v>
      </c>
      <c r="B158" s="21">
        <f t="shared" si="4"/>
        <v>315</v>
      </c>
      <c r="C158" s="21">
        <v>1</v>
      </c>
      <c r="D158" s="22" t="s">
        <v>17</v>
      </c>
      <c r="E158" s="23">
        <v>489.9</v>
      </c>
      <c r="F158" s="22" t="s">
        <v>18</v>
      </c>
      <c r="G158" s="24">
        <v>46265</v>
      </c>
      <c r="H158" s="21">
        <v>1</v>
      </c>
      <c r="I158" s="22" t="s">
        <v>19</v>
      </c>
      <c r="K158" s="20">
        <v>101</v>
      </c>
      <c r="L158" s="22" t="s">
        <v>447</v>
      </c>
      <c r="M158" s="22">
        <v>1</v>
      </c>
      <c r="N158" s="22">
        <v>31550109</v>
      </c>
      <c r="O158" s="25" t="s">
        <v>605</v>
      </c>
      <c r="Q158" s="22" t="s">
        <v>20</v>
      </c>
      <c r="R158" s="22" t="s">
        <v>18</v>
      </c>
      <c r="S158" s="20" t="s">
        <v>354</v>
      </c>
      <c r="T158" s="21">
        <v>19000</v>
      </c>
      <c r="U158" s="22" t="s">
        <v>656</v>
      </c>
      <c r="V158" s="21">
        <f t="shared" si="5"/>
        <v>316</v>
      </c>
      <c r="W158" s="22" t="str">
        <f>'PLANO DE SAÚDE'!C156</f>
        <v>31100</v>
      </c>
    </row>
    <row r="159" spans="1:23" s="20" customFormat="1" x14ac:dyDescent="0.3">
      <c r="A159" s="20" t="s">
        <v>16</v>
      </c>
      <c r="B159" s="21">
        <f t="shared" si="4"/>
        <v>317</v>
      </c>
      <c r="C159" s="21">
        <v>1</v>
      </c>
      <c r="D159" s="22" t="s">
        <v>17</v>
      </c>
      <c r="E159" s="23">
        <v>130</v>
      </c>
      <c r="F159" s="22" t="s">
        <v>18</v>
      </c>
      <c r="G159" s="24">
        <v>46265</v>
      </c>
      <c r="H159" s="21">
        <v>1</v>
      </c>
      <c r="I159" s="22" t="s">
        <v>19</v>
      </c>
      <c r="K159" s="20">
        <v>101</v>
      </c>
      <c r="L159" s="22" t="s">
        <v>447</v>
      </c>
      <c r="M159" s="22">
        <v>1</v>
      </c>
      <c r="N159" s="22">
        <v>31550109</v>
      </c>
      <c r="O159" s="25" t="s">
        <v>606</v>
      </c>
      <c r="Q159" s="22" t="s">
        <v>20</v>
      </c>
      <c r="R159" s="22" t="s">
        <v>18</v>
      </c>
      <c r="S159" s="20" t="s">
        <v>407</v>
      </c>
      <c r="T159" s="21">
        <v>19000</v>
      </c>
      <c r="U159" s="22" t="s">
        <v>656</v>
      </c>
      <c r="V159" s="21">
        <f t="shared" si="5"/>
        <v>318</v>
      </c>
      <c r="W159" s="22" t="str">
        <f>'PLANO DE SAÚDE'!C157</f>
        <v>31111</v>
      </c>
    </row>
    <row r="160" spans="1:23" s="20" customFormat="1" x14ac:dyDescent="0.3">
      <c r="A160" s="20" t="s">
        <v>16</v>
      </c>
      <c r="B160" s="21">
        <f t="shared" si="4"/>
        <v>319</v>
      </c>
      <c r="C160" s="21">
        <v>1</v>
      </c>
      <c r="D160" s="22" t="s">
        <v>17</v>
      </c>
      <c r="E160" s="23">
        <v>198</v>
      </c>
      <c r="F160" s="22" t="s">
        <v>18</v>
      </c>
      <c r="G160" s="24">
        <v>46265</v>
      </c>
      <c r="H160" s="21">
        <v>1</v>
      </c>
      <c r="I160" s="22" t="s">
        <v>19</v>
      </c>
      <c r="K160" s="20">
        <v>101</v>
      </c>
      <c r="L160" s="22" t="s">
        <v>447</v>
      </c>
      <c r="M160" s="22">
        <v>1</v>
      </c>
      <c r="N160" s="22">
        <v>31550109</v>
      </c>
      <c r="O160" s="25" t="s">
        <v>607</v>
      </c>
      <c r="Q160" s="22" t="s">
        <v>20</v>
      </c>
      <c r="R160" s="22" t="s">
        <v>18</v>
      </c>
      <c r="S160" s="20" t="s">
        <v>355</v>
      </c>
      <c r="T160" s="21">
        <v>19000</v>
      </c>
      <c r="U160" s="22" t="s">
        <v>656</v>
      </c>
      <c r="V160" s="21">
        <f t="shared" si="5"/>
        <v>320</v>
      </c>
      <c r="W160" s="22" t="str">
        <f>'PLANO DE SAÚDE'!C158</f>
        <v>31112</v>
      </c>
    </row>
    <row r="161" spans="1:23" s="20" customFormat="1" x14ac:dyDescent="0.3">
      <c r="A161" s="20" t="s">
        <v>16</v>
      </c>
      <c r="B161" s="21">
        <f t="shared" si="4"/>
        <v>321</v>
      </c>
      <c r="C161" s="21">
        <v>1</v>
      </c>
      <c r="D161" s="22" t="s">
        <v>17</v>
      </c>
      <c r="E161" s="23">
        <v>129.6</v>
      </c>
      <c r="F161" s="22" t="s">
        <v>18</v>
      </c>
      <c r="G161" s="24">
        <v>46265</v>
      </c>
      <c r="H161" s="21">
        <v>1</v>
      </c>
      <c r="I161" s="22" t="s">
        <v>19</v>
      </c>
      <c r="K161" s="20">
        <v>101</v>
      </c>
      <c r="L161" s="22" t="s">
        <v>447</v>
      </c>
      <c r="M161" s="22">
        <v>1</v>
      </c>
      <c r="N161" s="22">
        <v>31550109</v>
      </c>
      <c r="O161" s="25" t="s">
        <v>608</v>
      </c>
      <c r="Q161" s="22" t="s">
        <v>20</v>
      </c>
      <c r="R161" s="22" t="s">
        <v>18</v>
      </c>
      <c r="S161" s="20" t="s">
        <v>408</v>
      </c>
      <c r="T161" s="21">
        <v>19000</v>
      </c>
      <c r="U161" s="22" t="s">
        <v>656</v>
      </c>
      <c r="V161" s="21">
        <f t="shared" si="5"/>
        <v>322</v>
      </c>
      <c r="W161" s="22" t="str">
        <f>'PLANO DE SAÚDE'!C159</f>
        <v>31114</v>
      </c>
    </row>
    <row r="162" spans="1:23" s="20" customFormat="1" x14ac:dyDescent="0.3">
      <c r="A162" s="20" t="s">
        <v>16</v>
      </c>
      <c r="B162" s="21">
        <f t="shared" si="4"/>
        <v>323</v>
      </c>
      <c r="C162" s="21">
        <v>1</v>
      </c>
      <c r="D162" s="22" t="s">
        <v>17</v>
      </c>
      <c r="E162" s="23">
        <v>90</v>
      </c>
      <c r="F162" s="22" t="s">
        <v>18</v>
      </c>
      <c r="G162" s="24">
        <v>46265</v>
      </c>
      <c r="H162" s="21">
        <v>1</v>
      </c>
      <c r="I162" s="22" t="s">
        <v>19</v>
      </c>
      <c r="K162" s="20">
        <v>101</v>
      </c>
      <c r="L162" s="22" t="s">
        <v>447</v>
      </c>
      <c r="M162" s="22">
        <v>1</v>
      </c>
      <c r="N162" s="22">
        <v>31550109</v>
      </c>
      <c r="O162" s="25" t="s">
        <v>609</v>
      </c>
      <c r="Q162" s="22" t="s">
        <v>20</v>
      </c>
      <c r="R162" s="22" t="s">
        <v>18</v>
      </c>
      <c r="S162" s="20" t="s">
        <v>356</v>
      </c>
      <c r="T162" s="21">
        <v>19000</v>
      </c>
      <c r="U162" s="22" t="s">
        <v>656</v>
      </c>
      <c r="V162" s="21">
        <f t="shared" si="5"/>
        <v>324</v>
      </c>
      <c r="W162" s="22" t="str">
        <f>'PLANO DE SAÚDE'!C160</f>
        <v>31116</v>
      </c>
    </row>
    <row r="163" spans="1:23" s="20" customFormat="1" x14ac:dyDescent="0.3">
      <c r="A163" s="20" t="s">
        <v>16</v>
      </c>
      <c r="B163" s="21">
        <f t="shared" si="4"/>
        <v>325</v>
      </c>
      <c r="C163" s="21">
        <v>1</v>
      </c>
      <c r="D163" s="22" t="s">
        <v>17</v>
      </c>
      <c r="E163" s="23">
        <v>187</v>
      </c>
      <c r="F163" s="22" t="s">
        <v>18</v>
      </c>
      <c r="G163" s="24">
        <v>46265</v>
      </c>
      <c r="H163" s="21">
        <v>1</v>
      </c>
      <c r="I163" s="22" t="s">
        <v>19</v>
      </c>
      <c r="K163" s="20">
        <v>101</v>
      </c>
      <c r="L163" s="22" t="s">
        <v>447</v>
      </c>
      <c r="M163" s="22">
        <v>1</v>
      </c>
      <c r="N163" s="22">
        <v>31550109</v>
      </c>
      <c r="O163" s="25" t="s">
        <v>610</v>
      </c>
      <c r="Q163" s="22" t="s">
        <v>20</v>
      </c>
      <c r="R163" s="22" t="s">
        <v>18</v>
      </c>
      <c r="S163" s="20" t="s">
        <v>357</v>
      </c>
      <c r="T163" s="21">
        <v>19000</v>
      </c>
      <c r="U163" s="22" t="s">
        <v>656</v>
      </c>
      <c r="V163" s="21">
        <f t="shared" si="5"/>
        <v>326</v>
      </c>
      <c r="W163" s="22" t="str">
        <f>'PLANO DE SAÚDE'!C161</f>
        <v>31200</v>
      </c>
    </row>
    <row r="164" spans="1:23" s="20" customFormat="1" x14ac:dyDescent="0.3">
      <c r="A164" s="20" t="s">
        <v>16</v>
      </c>
      <c r="B164" s="21">
        <f t="shared" si="4"/>
        <v>327</v>
      </c>
      <c r="C164" s="21">
        <v>1</v>
      </c>
      <c r="D164" s="22" t="s">
        <v>17</v>
      </c>
      <c r="E164" s="23">
        <v>75</v>
      </c>
      <c r="F164" s="22" t="s">
        <v>18</v>
      </c>
      <c r="G164" s="24">
        <v>46265</v>
      </c>
      <c r="H164" s="21">
        <v>1</v>
      </c>
      <c r="I164" s="22" t="s">
        <v>19</v>
      </c>
      <c r="K164" s="20">
        <v>101</v>
      </c>
      <c r="L164" s="22" t="s">
        <v>447</v>
      </c>
      <c r="M164" s="22">
        <v>1</v>
      </c>
      <c r="N164" s="22">
        <v>31550109</v>
      </c>
      <c r="O164" s="25" t="s">
        <v>611</v>
      </c>
      <c r="Q164" s="22" t="s">
        <v>20</v>
      </c>
      <c r="R164" s="22" t="s">
        <v>18</v>
      </c>
      <c r="S164" s="20" t="s">
        <v>409</v>
      </c>
      <c r="T164" s="21">
        <v>19000</v>
      </c>
      <c r="U164" s="22" t="s">
        <v>656</v>
      </c>
      <c r="V164" s="21">
        <f t="shared" si="5"/>
        <v>328</v>
      </c>
      <c r="W164" s="22" t="str">
        <f>'PLANO DE SAÚDE'!C162</f>
        <v>31300</v>
      </c>
    </row>
    <row r="165" spans="1:23" s="20" customFormat="1" x14ac:dyDescent="0.3">
      <c r="A165" s="20" t="s">
        <v>16</v>
      </c>
      <c r="B165" s="21">
        <f t="shared" si="4"/>
        <v>329</v>
      </c>
      <c r="C165" s="21">
        <v>1</v>
      </c>
      <c r="D165" s="22" t="s">
        <v>17</v>
      </c>
      <c r="E165" s="23">
        <v>43.650000000000006</v>
      </c>
      <c r="F165" s="22" t="s">
        <v>18</v>
      </c>
      <c r="G165" s="24">
        <v>46265</v>
      </c>
      <c r="H165" s="21">
        <v>1</v>
      </c>
      <c r="I165" s="22" t="s">
        <v>19</v>
      </c>
      <c r="K165" s="20">
        <v>101</v>
      </c>
      <c r="L165" s="22" t="s">
        <v>447</v>
      </c>
      <c r="M165" s="22">
        <v>1</v>
      </c>
      <c r="N165" s="22">
        <v>31550109</v>
      </c>
      <c r="O165" s="25" t="s">
        <v>612</v>
      </c>
      <c r="Q165" s="22" t="s">
        <v>20</v>
      </c>
      <c r="R165" s="22" t="s">
        <v>18</v>
      </c>
      <c r="S165" s="20">
        <v>15056</v>
      </c>
      <c r="T165" s="21">
        <v>19000</v>
      </c>
      <c r="U165" s="22" t="s">
        <v>656</v>
      </c>
      <c r="V165" s="21">
        <f t="shared" si="5"/>
        <v>330</v>
      </c>
      <c r="W165" s="22" t="str">
        <f>'PLANO DE SAÚDE'!C163</f>
        <v>33010</v>
      </c>
    </row>
    <row r="166" spans="1:23" s="20" customFormat="1" x14ac:dyDescent="0.3">
      <c r="A166" s="20" t="s">
        <v>16</v>
      </c>
      <c r="B166" s="21">
        <f t="shared" si="4"/>
        <v>331</v>
      </c>
      <c r="C166" s="21">
        <v>1</v>
      </c>
      <c r="D166" s="22" t="s">
        <v>17</v>
      </c>
      <c r="E166" s="23">
        <v>14.55</v>
      </c>
      <c r="F166" s="22" t="s">
        <v>18</v>
      </c>
      <c r="G166" s="24">
        <v>46265</v>
      </c>
      <c r="H166" s="21">
        <v>1</v>
      </c>
      <c r="I166" s="22" t="s">
        <v>658</v>
      </c>
      <c r="K166" s="20">
        <v>101</v>
      </c>
      <c r="L166" s="22" t="s">
        <v>447</v>
      </c>
      <c r="M166" s="22">
        <v>1</v>
      </c>
      <c r="N166" s="22">
        <v>31550109</v>
      </c>
      <c r="O166" s="25" t="s">
        <v>613</v>
      </c>
      <c r="Q166" s="22" t="s">
        <v>20</v>
      </c>
      <c r="R166" s="22" t="s">
        <v>18</v>
      </c>
      <c r="S166" s="20">
        <v>15058</v>
      </c>
      <c r="T166" s="21">
        <v>19000</v>
      </c>
      <c r="U166" s="22" t="s">
        <v>656</v>
      </c>
      <c r="V166" s="21">
        <f t="shared" si="5"/>
        <v>332</v>
      </c>
      <c r="W166" s="22" t="str">
        <f>'PLANO DE SAÚDE'!C164</f>
        <v>33040</v>
      </c>
    </row>
    <row r="167" spans="1:23" s="20" customFormat="1" x14ac:dyDescent="0.3">
      <c r="A167" s="20" t="s">
        <v>16</v>
      </c>
      <c r="B167" s="21">
        <f t="shared" si="4"/>
        <v>333</v>
      </c>
      <c r="C167" s="21">
        <v>1</v>
      </c>
      <c r="D167" s="22" t="s">
        <v>17</v>
      </c>
      <c r="E167" s="23">
        <v>43.650000000000006</v>
      </c>
      <c r="F167" s="22" t="s">
        <v>18</v>
      </c>
      <c r="G167" s="24">
        <v>46265</v>
      </c>
      <c r="H167" s="21">
        <v>1</v>
      </c>
      <c r="I167" s="22" t="s">
        <v>19</v>
      </c>
      <c r="K167" s="20">
        <v>101</v>
      </c>
      <c r="L167" s="22" t="s">
        <v>447</v>
      </c>
      <c r="M167" s="22">
        <v>1</v>
      </c>
      <c r="N167" s="22">
        <v>31550109</v>
      </c>
      <c r="O167" s="25" t="s">
        <v>614</v>
      </c>
      <c r="Q167" s="22" t="s">
        <v>20</v>
      </c>
      <c r="R167" s="22" t="s">
        <v>18</v>
      </c>
      <c r="S167" s="20" t="s">
        <v>334</v>
      </c>
      <c r="T167" s="21">
        <v>19000</v>
      </c>
      <c r="U167" s="22" t="s">
        <v>656</v>
      </c>
      <c r="V167" s="21">
        <f t="shared" si="5"/>
        <v>334</v>
      </c>
      <c r="W167" s="22" t="str">
        <f>'PLANO DE SAÚDE'!C165</f>
        <v>33050</v>
      </c>
    </row>
    <row r="168" spans="1:23" s="20" customFormat="1" x14ac:dyDescent="0.3">
      <c r="A168" s="20" t="s">
        <v>16</v>
      </c>
      <c r="B168" s="21">
        <f t="shared" si="4"/>
        <v>335</v>
      </c>
      <c r="C168" s="21">
        <v>1</v>
      </c>
      <c r="D168" s="22" t="s">
        <v>17</v>
      </c>
      <c r="E168" s="23">
        <v>43.65</v>
      </c>
      <c r="F168" s="22" t="s">
        <v>18</v>
      </c>
      <c r="G168" s="24">
        <v>46265</v>
      </c>
      <c r="H168" s="21">
        <v>1</v>
      </c>
      <c r="I168" s="22" t="s">
        <v>19</v>
      </c>
      <c r="K168" s="20">
        <v>101</v>
      </c>
      <c r="L168" s="22" t="s">
        <v>447</v>
      </c>
      <c r="M168" s="22">
        <v>1</v>
      </c>
      <c r="N168" s="22">
        <v>31550109</v>
      </c>
      <c r="O168" s="25" t="s">
        <v>615</v>
      </c>
      <c r="Q168" s="22" t="s">
        <v>20</v>
      </c>
      <c r="R168" s="22" t="s">
        <v>18</v>
      </c>
      <c r="S168" s="20" t="s">
        <v>336</v>
      </c>
      <c r="T168" s="21">
        <v>19000</v>
      </c>
      <c r="U168" s="22" t="s">
        <v>656</v>
      </c>
      <c r="V168" s="21">
        <f t="shared" si="5"/>
        <v>336</v>
      </c>
      <c r="W168" s="22" t="str">
        <f>'PLANO DE SAÚDE'!C166</f>
        <v>33060</v>
      </c>
    </row>
    <row r="169" spans="1:23" s="41" customFormat="1" x14ac:dyDescent="0.3">
      <c r="A169" s="41" t="s">
        <v>16</v>
      </c>
      <c r="B169" s="42">
        <f t="shared" si="4"/>
        <v>337</v>
      </c>
      <c r="C169" s="42">
        <v>1</v>
      </c>
      <c r="D169" s="43" t="s">
        <v>17</v>
      </c>
      <c r="E169" s="23">
        <v>43.650000000000006</v>
      </c>
      <c r="F169" s="43" t="s">
        <v>18</v>
      </c>
      <c r="G169" s="24">
        <v>46265</v>
      </c>
      <c r="H169" s="21">
        <v>1</v>
      </c>
      <c r="I169" s="22" t="s">
        <v>19</v>
      </c>
      <c r="K169" s="20">
        <v>101</v>
      </c>
      <c r="L169" s="22" t="s">
        <v>447</v>
      </c>
      <c r="M169" s="43">
        <v>1</v>
      </c>
      <c r="N169" s="43">
        <v>31550109</v>
      </c>
      <c r="O169" s="25" t="s">
        <v>616</v>
      </c>
      <c r="Q169" s="43" t="s">
        <v>20</v>
      </c>
      <c r="R169" s="43" t="s">
        <v>18</v>
      </c>
      <c r="S169" s="20" t="s">
        <v>337</v>
      </c>
      <c r="T169" s="42">
        <v>19000</v>
      </c>
      <c r="U169" s="22" t="s">
        <v>656</v>
      </c>
      <c r="V169" s="42">
        <f t="shared" si="5"/>
        <v>338</v>
      </c>
      <c r="W169" s="22" t="str">
        <f>'PLANO DE SAÚDE'!C167</f>
        <v>55030</v>
      </c>
    </row>
    <row r="170" spans="1:23" s="20" customFormat="1" x14ac:dyDescent="0.3">
      <c r="A170" s="20" t="s">
        <v>16</v>
      </c>
      <c r="B170" s="21">
        <f t="shared" si="4"/>
        <v>339</v>
      </c>
      <c r="C170" s="21">
        <v>1</v>
      </c>
      <c r="D170" s="22" t="s">
        <v>17</v>
      </c>
      <c r="E170" s="23">
        <v>72.75</v>
      </c>
      <c r="F170" s="22" t="s">
        <v>18</v>
      </c>
      <c r="G170" s="24">
        <v>46265</v>
      </c>
      <c r="H170" s="21">
        <v>1</v>
      </c>
      <c r="I170" s="22" t="s">
        <v>19</v>
      </c>
      <c r="K170" s="20">
        <v>101</v>
      </c>
      <c r="L170" s="22" t="s">
        <v>447</v>
      </c>
      <c r="M170" s="22">
        <v>1</v>
      </c>
      <c r="N170" s="22">
        <v>31550109</v>
      </c>
      <c r="O170" s="25" t="s">
        <v>617</v>
      </c>
      <c r="Q170" s="22" t="s">
        <v>20</v>
      </c>
      <c r="R170" s="22" t="s">
        <v>18</v>
      </c>
      <c r="S170" s="20" t="s">
        <v>338</v>
      </c>
      <c r="T170" s="21">
        <v>19000</v>
      </c>
      <c r="U170" s="22" t="s">
        <v>656</v>
      </c>
      <c r="V170" s="21">
        <f t="shared" si="5"/>
        <v>340</v>
      </c>
      <c r="W170" s="22" t="e">
        <f>'PLANO DE SAÚDE'!#REF!</f>
        <v>#REF!</v>
      </c>
    </row>
    <row r="171" spans="1:23" s="20" customFormat="1" x14ac:dyDescent="0.3">
      <c r="A171" s="20" t="s">
        <v>16</v>
      </c>
      <c r="B171" s="21">
        <f t="shared" si="4"/>
        <v>341</v>
      </c>
      <c r="C171" s="21">
        <v>1</v>
      </c>
      <c r="D171" s="22" t="s">
        <v>17</v>
      </c>
      <c r="E171" s="23">
        <v>14.55</v>
      </c>
      <c r="F171" s="22" t="s">
        <v>18</v>
      </c>
      <c r="G171" s="24">
        <v>46265</v>
      </c>
      <c r="H171" s="21">
        <v>1</v>
      </c>
      <c r="I171" s="22" t="s">
        <v>19</v>
      </c>
      <c r="K171" s="20">
        <v>101</v>
      </c>
      <c r="L171" s="22" t="s">
        <v>447</v>
      </c>
      <c r="M171" s="22">
        <v>1</v>
      </c>
      <c r="N171" s="22">
        <v>31550109</v>
      </c>
      <c r="O171" s="25" t="s">
        <v>618</v>
      </c>
      <c r="Q171" s="22" t="s">
        <v>20</v>
      </c>
      <c r="R171" s="22" t="s">
        <v>18</v>
      </c>
      <c r="S171" s="20" t="s">
        <v>339</v>
      </c>
      <c r="T171" s="21">
        <v>19000</v>
      </c>
      <c r="U171" s="22" t="s">
        <v>656</v>
      </c>
      <c r="V171" s="21">
        <f t="shared" si="5"/>
        <v>342</v>
      </c>
      <c r="W171" s="22">
        <f>'PLANO DE SAÚDE'!C168</f>
        <v>15056</v>
      </c>
    </row>
    <row r="172" spans="1:23" s="20" customFormat="1" x14ac:dyDescent="0.3">
      <c r="A172" s="20" t="s">
        <v>16</v>
      </c>
      <c r="B172" s="21">
        <f t="shared" si="4"/>
        <v>343</v>
      </c>
      <c r="C172" s="21">
        <v>1</v>
      </c>
      <c r="D172" s="22" t="s">
        <v>17</v>
      </c>
      <c r="E172" s="23">
        <v>101.85000000000001</v>
      </c>
      <c r="F172" s="22" t="s">
        <v>18</v>
      </c>
      <c r="G172" s="24">
        <v>46265</v>
      </c>
      <c r="H172" s="21">
        <v>1</v>
      </c>
      <c r="I172" s="22" t="s">
        <v>19</v>
      </c>
      <c r="K172" s="20">
        <v>101</v>
      </c>
      <c r="L172" s="22" t="s">
        <v>447</v>
      </c>
      <c r="M172" s="22">
        <v>1</v>
      </c>
      <c r="N172" s="22">
        <v>31550109</v>
      </c>
      <c r="O172" s="25" t="s">
        <v>619</v>
      </c>
      <c r="Q172" s="22" t="s">
        <v>20</v>
      </c>
      <c r="R172" s="22" t="s">
        <v>18</v>
      </c>
      <c r="S172" s="20" t="s">
        <v>361</v>
      </c>
      <c r="T172" s="21">
        <v>19000</v>
      </c>
      <c r="U172" s="22" t="s">
        <v>656</v>
      </c>
      <c r="V172" s="21">
        <f t="shared" si="5"/>
        <v>344</v>
      </c>
      <c r="W172" s="22">
        <f>'PLANO DE SAÚDE'!C169</f>
        <v>15058</v>
      </c>
    </row>
    <row r="173" spans="1:23" s="20" customFormat="1" x14ac:dyDescent="0.3">
      <c r="A173" s="20" t="s">
        <v>16</v>
      </c>
      <c r="B173" s="21">
        <f t="shared" si="4"/>
        <v>345</v>
      </c>
      <c r="C173" s="21">
        <v>1</v>
      </c>
      <c r="D173" s="22" t="s">
        <v>17</v>
      </c>
      <c r="E173" s="23">
        <v>14.55</v>
      </c>
      <c r="F173" s="22" t="s">
        <v>18</v>
      </c>
      <c r="G173" s="24">
        <v>46265</v>
      </c>
      <c r="H173" s="21">
        <v>1</v>
      </c>
      <c r="I173" s="22" t="s">
        <v>19</v>
      </c>
      <c r="K173" s="20">
        <v>101</v>
      </c>
      <c r="L173" s="22" t="s">
        <v>447</v>
      </c>
      <c r="M173" s="22">
        <v>1</v>
      </c>
      <c r="N173" s="22">
        <v>31550109</v>
      </c>
      <c r="O173" s="25" t="s">
        <v>620</v>
      </c>
      <c r="Q173" s="22" t="s">
        <v>20</v>
      </c>
      <c r="R173" s="22" t="s">
        <v>18</v>
      </c>
      <c r="S173" s="20" t="s">
        <v>343</v>
      </c>
      <c r="T173" s="21">
        <v>19000</v>
      </c>
      <c r="U173" s="22" t="s">
        <v>656</v>
      </c>
      <c r="V173" s="21">
        <f t="shared" si="5"/>
        <v>346</v>
      </c>
      <c r="W173" s="22" t="str">
        <f>'PLANO DE SAÚDE'!C170</f>
        <v>13012</v>
      </c>
    </row>
    <row r="174" spans="1:23" s="20" customFormat="1" x14ac:dyDescent="0.3">
      <c r="A174" s="20" t="s">
        <v>16</v>
      </c>
      <c r="B174" s="21">
        <f t="shared" si="4"/>
        <v>347</v>
      </c>
      <c r="C174" s="21">
        <v>1</v>
      </c>
      <c r="D174" s="22" t="s">
        <v>17</v>
      </c>
      <c r="E174" s="23">
        <v>421.95000000000016</v>
      </c>
      <c r="F174" s="22" t="s">
        <v>18</v>
      </c>
      <c r="G174" s="24">
        <v>46265</v>
      </c>
      <c r="H174" s="21">
        <v>1</v>
      </c>
      <c r="I174" s="22" t="s">
        <v>19</v>
      </c>
      <c r="K174" s="20">
        <v>101</v>
      </c>
      <c r="L174" s="22" t="s">
        <v>447</v>
      </c>
      <c r="M174" s="22">
        <v>1</v>
      </c>
      <c r="N174" s="22">
        <v>31550109</v>
      </c>
      <c r="O174" s="25" t="s">
        <v>621</v>
      </c>
      <c r="Q174" s="22" t="s">
        <v>20</v>
      </c>
      <c r="R174" s="22" t="s">
        <v>18</v>
      </c>
      <c r="S174" s="20" t="s">
        <v>410</v>
      </c>
      <c r="T174" s="21">
        <v>19000</v>
      </c>
      <c r="U174" s="22" t="s">
        <v>656</v>
      </c>
      <c r="V174" s="21">
        <f t="shared" si="5"/>
        <v>348</v>
      </c>
      <c r="W174" s="22" t="str">
        <f>'PLANO DE SAÚDE'!C171</f>
        <v>13014</v>
      </c>
    </row>
    <row r="175" spans="1:23" s="20" customFormat="1" x14ac:dyDescent="0.3">
      <c r="A175" s="20" t="s">
        <v>16</v>
      </c>
      <c r="B175" s="21">
        <f t="shared" si="4"/>
        <v>349</v>
      </c>
      <c r="C175" s="21">
        <v>1</v>
      </c>
      <c r="D175" s="22" t="s">
        <v>17</v>
      </c>
      <c r="E175" s="23">
        <v>247.35000000000011</v>
      </c>
      <c r="F175" s="22" t="s">
        <v>18</v>
      </c>
      <c r="G175" s="24">
        <v>46265</v>
      </c>
      <c r="H175" s="21">
        <v>1</v>
      </c>
      <c r="I175" s="22" t="s">
        <v>19</v>
      </c>
      <c r="K175" s="20">
        <v>101</v>
      </c>
      <c r="L175" s="22" t="s">
        <v>447</v>
      </c>
      <c r="M175" s="22">
        <v>1</v>
      </c>
      <c r="N175" s="22">
        <v>31550109</v>
      </c>
      <c r="O175" s="25" t="s">
        <v>622</v>
      </c>
      <c r="Q175" s="22" t="s">
        <v>20</v>
      </c>
      <c r="R175" s="22" t="s">
        <v>18</v>
      </c>
      <c r="S175" s="20" t="s">
        <v>403</v>
      </c>
      <c r="T175" s="21">
        <v>19000</v>
      </c>
      <c r="U175" s="22" t="s">
        <v>656</v>
      </c>
      <c r="V175" s="21">
        <f t="shared" si="5"/>
        <v>350</v>
      </c>
      <c r="W175" s="22" t="str">
        <f>'PLANO DE SAÚDE'!C172</f>
        <v>13016</v>
      </c>
    </row>
    <row r="176" spans="1:23" s="20" customFormat="1" x14ac:dyDescent="0.3">
      <c r="A176" s="20" t="s">
        <v>16</v>
      </c>
      <c r="B176" s="21">
        <f t="shared" si="4"/>
        <v>351</v>
      </c>
      <c r="C176" s="21">
        <v>1</v>
      </c>
      <c r="D176" s="22" t="s">
        <v>17</v>
      </c>
      <c r="E176" s="23">
        <v>349.20000000000016</v>
      </c>
      <c r="F176" s="22" t="s">
        <v>18</v>
      </c>
      <c r="G176" s="24">
        <v>46265</v>
      </c>
      <c r="H176" s="21">
        <v>1</v>
      </c>
      <c r="I176" s="22" t="s">
        <v>19</v>
      </c>
      <c r="K176" s="20">
        <v>101</v>
      </c>
      <c r="L176" s="22" t="s">
        <v>447</v>
      </c>
      <c r="M176" s="22">
        <v>1</v>
      </c>
      <c r="N176" s="22">
        <v>31550109</v>
      </c>
      <c r="O176" s="25" t="s">
        <v>623</v>
      </c>
      <c r="Q176" s="22" t="s">
        <v>20</v>
      </c>
      <c r="R176" s="22" t="s">
        <v>18</v>
      </c>
      <c r="S176" s="20" t="s">
        <v>362</v>
      </c>
      <c r="T176" s="21">
        <v>19000</v>
      </c>
      <c r="U176" s="22" t="s">
        <v>656</v>
      </c>
      <c r="V176" s="21">
        <f t="shared" si="5"/>
        <v>352</v>
      </c>
      <c r="W176" s="22" t="str">
        <f>'PLANO DE SAÚDE'!C173</f>
        <v>13018</v>
      </c>
    </row>
    <row r="177" spans="1:23" s="20" customFormat="1" x14ac:dyDescent="0.3">
      <c r="A177" s="20" t="s">
        <v>16</v>
      </c>
      <c r="B177" s="21">
        <f t="shared" si="4"/>
        <v>353</v>
      </c>
      <c r="C177" s="21">
        <v>1</v>
      </c>
      <c r="D177" s="22" t="s">
        <v>17</v>
      </c>
      <c r="E177" s="23">
        <v>232.80000000000007</v>
      </c>
      <c r="F177" s="22" t="s">
        <v>18</v>
      </c>
      <c r="G177" s="24">
        <v>46265</v>
      </c>
      <c r="H177" s="21">
        <v>1</v>
      </c>
      <c r="I177" s="22" t="s">
        <v>19</v>
      </c>
      <c r="K177" s="20">
        <v>101</v>
      </c>
      <c r="L177" s="22" t="s">
        <v>447</v>
      </c>
      <c r="M177" s="22">
        <v>1</v>
      </c>
      <c r="N177" s="22">
        <v>31550109</v>
      </c>
      <c r="O177" s="25" t="s">
        <v>624</v>
      </c>
      <c r="Q177" s="22" t="s">
        <v>20</v>
      </c>
      <c r="R177" s="22" t="s">
        <v>18</v>
      </c>
      <c r="S177" s="20" t="s">
        <v>363</v>
      </c>
      <c r="T177" s="21">
        <v>19000</v>
      </c>
      <c r="U177" s="22" t="s">
        <v>656</v>
      </c>
      <c r="V177" s="21">
        <f t="shared" si="5"/>
        <v>354</v>
      </c>
      <c r="W177" s="22" t="str">
        <f>'PLANO DE SAÚDE'!C174</f>
        <v>14012</v>
      </c>
    </row>
    <row r="178" spans="1:23" x14ac:dyDescent="0.3">
      <c r="A178" s="20" t="s">
        <v>16</v>
      </c>
      <c r="B178" s="21">
        <f t="shared" si="4"/>
        <v>355</v>
      </c>
      <c r="C178" s="21">
        <v>1</v>
      </c>
      <c r="D178" s="22" t="s">
        <v>17</v>
      </c>
      <c r="E178" s="23">
        <v>247.35000000000005</v>
      </c>
      <c r="F178" s="22" t="s">
        <v>18</v>
      </c>
      <c r="G178" s="24">
        <v>46265</v>
      </c>
      <c r="H178" s="21">
        <v>1</v>
      </c>
      <c r="I178" s="22" t="s">
        <v>19</v>
      </c>
      <c r="J178" s="20"/>
      <c r="K178" s="20">
        <v>101</v>
      </c>
      <c r="L178" s="22" t="s">
        <v>447</v>
      </c>
      <c r="M178" s="22">
        <v>1</v>
      </c>
      <c r="N178" s="22">
        <v>31550109</v>
      </c>
      <c r="O178" s="25" t="s">
        <v>625</v>
      </c>
      <c r="P178" s="20"/>
      <c r="Q178" s="22" t="s">
        <v>20</v>
      </c>
      <c r="R178" s="22" t="s">
        <v>18</v>
      </c>
      <c r="S178" s="20" t="s">
        <v>372</v>
      </c>
      <c r="T178" s="21">
        <v>19000</v>
      </c>
      <c r="U178" s="22" t="s">
        <v>656</v>
      </c>
      <c r="V178" s="21">
        <f t="shared" si="5"/>
        <v>356</v>
      </c>
      <c r="W178" s="22" t="str">
        <f>'PLANO DE SAÚDE'!C175</f>
        <v>14056</v>
      </c>
    </row>
    <row r="179" spans="1:23" x14ac:dyDescent="0.3">
      <c r="A179" s="20" t="s">
        <v>16</v>
      </c>
      <c r="B179" s="21">
        <f t="shared" si="4"/>
        <v>357</v>
      </c>
      <c r="C179" s="21">
        <v>1</v>
      </c>
      <c r="D179" s="22" t="s">
        <v>17</v>
      </c>
      <c r="E179" s="23">
        <v>87.3</v>
      </c>
      <c r="F179" s="22" t="s">
        <v>18</v>
      </c>
      <c r="G179" s="24">
        <v>46265</v>
      </c>
      <c r="H179" s="21">
        <v>1</v>
      </c>
      <c r="I179" s="22" t="s">
        <v>19</v>
      </c>
      <c r="J179" s="20"/>
      <c r="K179" s="20">
        <v>101</v>
      </c>
      <c r="L179" s="22" t="s">
        <v>447</v>
      </c>
      <c r="M179" s="22">
        <v>1</v>
      </c>
      <c r="N179" s="22">
        <v>31550109</v>
      </c>
      <c r="O179" s="25" t="s">
        <v>626</v>
      </c>
      <c r="P179" s="20"/>
      <c r="Q179" s="22" t="s">
        <v>20</v>
      </c>
      <c r="R179" s="22" t="s">
        <v>18</v>
      </c>
      <c r="S179" s="20" t="s">
        <v>344</v>
      </c>
      <c r="T179" s="21">
        <v>19000</v>
      </c>
      <c r="U179" s="22" t="s">
        <v>656</v>
      </c>
      <c r="V179" s="21">
        <f t="shared" si="5"/>
        <v>358</v>
      </c>
      <c r="W179" s="22" t="str">
        <f>'PLANO DE SAÚDE'!C176</f>
        <v>15012</v>
      </c>
    </row>
    <row r="180" spans="1:23" x14ac:dyDescent="0.3">
      <c r="A180" s="20" t="s">
        <v>16</v>
      </c>
      <c r="B180" s="21">
        <f t="shared" si="4"/>
        <v>359</v>
      </c>
      <c r="C180" s="21">
        <v>1</v>
      </c>
      <c r="D180" s="22" t="s">
        <v>17</v>
      </c>
      <c r="E180" s="23">
        <v>58.2</v>
      </c>
      <c r="F180" s="22" t="s">
        <v>18</v>
      </c>
      <c r="G180" s="24">
        <v>46265</v>
      </c>
      <c r="H180" s="21">
        <v>1</v>
      </c>
      <c r="I180" s="22" t="s">
        <v>19</v>
      </c>
      <c r="J180" s="20"/>
      <c r="K180" s="20">
        <v>101</v>
      </c>
      <c r="L180" s="22" t="s">
        <v>447</v>
      </c>
      <c r="M180" s="22">
        <v>1</v>
      </c>
      <c r="N180" s="22">
        <v>31550109</v>
      </c>
      <c r="O180" s="25" t="s">
        <v>627</v>
      </c>
      <c r="P180" s="20"/>
      <c r="Q180" s="22" t="s">
        <v>20</v>
      </c>
      <c r="R180" s="22" t="s">
        <v>18</v>
      </c>
      <c r="S180" s="20" t="s">
        <v>345</v>
      </c>
      <c r="T180" s="21">
        <v>19000</v>
      </c>
      <c r="U180" s="22" t="s">
        <v>656</v>
      </c>
      <c r="V180" s="21">
        <f t="shared" si="5"/>
        <v>360</v>
      </c>
      <c r="W180" s="22" t="str">
        <f>'PLANO DE SAÚDE'!C177</f>
        <v>15050</v>
      </c>
    </row>
    <row r="181" spans="1:23" x14ac:dyDescent="0.3">
      <c r="A181" s="20" t="s">
        <v>16</v>
      </c>
      <c r="B181" s="21">
        <f t="shared" si="4"/>
        <v>361</v>
      </c>
      <c r="C181" s="21">
        <v>1</v>
      </c>
      <c r="D181" s="22" t="s">
        <v>17</v>
      </c>
      <c r="E181" s="23">
        <v>43.65</v>
      </c>
      <c r="F181" s="22" t="s">
        <v>18</v>
      </c>
      <c r="G181" s="24">
        <v>46265</v>
      </c>
      <c r="H181" s="21">
        <v>1</v>
      </c>
      <c r="I181" s="22" t="s">
        <v>19</v>
      </c>
      <c r="J181" s="20"/>
      <c r="K181" s="20">
        <v>101</v>
      </c>
      <c r="L181" s="22" t="s">
        <v>447</v>
      </c>
      <c r="M181" s="22">
        <v>1</v>
      </c>
      <c r="N181" s="22">
        <v>31550109</v>
      </c>
      <c r="O181" s="25" t="s">
        <v>628</v>
      </c>
      <c r="P181" s="20"/>
      <c r="Q181" s="22" t="s">
        <v>20</v>
      </c>
      <c r="R181" s="22" t="s">
        <v>18</v>
      </c>
      <c r="S181" s="20" t="s">
        <v>404</v>
      </c>
      <c r="T181" s="21">
        <v>19000</v>
      </c>
      <c r="U181" s="22" t="s">
        <v>656</v>
      </c>
      <c r="V181" s="21">
        <f t="shared" si="5"/>
        <v>362</v>
      </c>
      <c r="W181" s="22" t="str">
        <f>'PLANO DE SAÚDE'!C178</f>
        <v>15051</v>
      </c>
    </row>
    <row r="182" spans="1:23" x14ac:dyDescent="0.3">
      <c r="A182" s="20" t="s">
        <v>16</v>
      </c>
      <c r="B182" s="21">
        <f t="shared" si="4"/>
        <v>363</v>
      </c>
      <c r="C182" s="21">
        <v>1</v>
      </c>
      <c r="D182" s="22" t="s">
        <v>17</v>
      </c>
      <c r="E182" s="23">
        <v>43.65</v>
      </c>
      <c r="F182" s="22" t="s">
        <v>18</v>
      </c>
      <c r="G182" s="24">
        <v>46265</v>
      </c>
      <c r="H182" s="21">
        <v>1</v>
      </c>
      <c r="I182" s="22" t="s">
        <v>19</v>
      </c>
      <c r="J182" s="20"/>
      <c r="K182" s="20">
        <v>101</v>
      </c>
      <c r="L182" s="22" t="s">
        <v>447</v>
      </c>
      <c r="M182" s="22">
        <v>1</v>
      </c>
      <c r="N182" s="22">
        <v>31550109</v>
      </c>
      <c r="O182" s="25" t="s">
        <v>629</v>
      </c>
      <c r="P182" s="20"/>
      <c r="Q182" s="22" t="s">
        <v>20</v>
      </c>
      <c r="R182" s="22" t="s">
        <v>18</v>
      </c>
      <c r="S182" s="20" t="s">
        <v>346</v>
      </c>
      <c r="T182" s="21">
        <v>19000</v>
      </c>
      <c r="U182" s="22" t="s">
        <v>656</v>
      </c>
      <c r="V182" s="21">
        <f t="shared" si="5"/>
        <v>364</v>
      </c>
      <c r="W182" s="22" t="str">
        <f>'PLANO DE SAÚDE'!C179</f>
        <v>15056</v>
      </c>
    </row>
    <row r="183" spans="1:23" x14ac:dyDescent="0.3">
      <c r="A183" s="20" t="s">
        <v>16</v>
      </c>
      <c r="B183" s="21">
        <f t="shared" si="4"/>
        <v>365</v>
      </c>
      <c r="C183" s="21">
        <v>1</v>
      </c>
      <c r="D183" s="22" t="s">
        <v>17</v>
      </c>
      <c r="E183" s="23">
        <v>261.90000000000003</v>
      </c>
      <c r="F183" s="22" t="s">
        <v>18</v>
      </c>
      <c r="G183" s="24">
        <v>46265</v>
      </c>
      <c r="H183" s="21">
        <v>1</v>
      </c>
      <c r="I183" s="22" t="s">
        <v>19</v>
      </c>
      <c r="J183" s="20"/>
      <c r="K183" s="20">
        <v>101</v>
      </c>
      <c r="L183" s="22" t="s">
        <v>447</v>
      </c>
      <c r="M183" s="22">
        <v>1</v>
      </c>
      <c r="N183" s="22">
        <v>31550109</v>
      </c>
      <c r="O183" s="25" t="s">
        <v>630</v>
      </c>
      <c r="P183" s="20"/>
      <c r="Q183" s="22" t="s">
        <v>20</v>
      </c>
      <c r="R183" s="22" t="s">
        <v>18</v>
      </c>
      <c r="S183" s="20" t="s">
        <v>347</v>
      </c>
      <c r="T183" s="21">
        <v>19000</v>
      </c>
      <c r="U183" s="22" t="s">
        <v>656</v>
      </c>
      <c r="V183" s="21">
        <f t="shared" si="5"/>
        <v>366</v>
      </c>
      <c r="W183" s="22" t="str">
        <f>'PLANO DE SAÚDE'!C180</f>
        <v>15058</v>
      </c>
    </row>
    <row r="184" spans="1:23" x14ac:dyDescent="0.3">
      <c r="A184" s="20" t="s">
        <v>16</v>
      </c>
      <c r="B184" s="21">
        <f t="shared" si="4"/>
        <v>367</v>
      </c>
      <c r="C184" s="21">
        <v>1</v>
      </c>
      <c r="D184" s="22" t="s">
        <v>17</v>
      </c>
      <c r="E184" s="23">
        <v>58.2</v>
      </c>
      <c r="F184" s="22" t="s">
        <v>18</v>
      </c>
      <c r="G184" s="24">
        <v>46265</v>
      </c>
      <c r="H184" s="21">
        <v>1</v>
      </c>
      <c r="I184" s="22" t="s">
        <v>19</v>
      </c>
      <c r="J184" s="20"/>
      <c r="K184" s="20">
        <v>101</v>
      </c>
      <c r="L184" s="22" t="s">
        <v>447</v>
      </c>
      <c r="M184" s="22">
        <v>1</v>
      </c>
      <c r="N184" s="22">
        <v>31550109</v>
      </c>
      <c r="O184" s="25" t="s">
        <v>631</v>
      </c>
      <c r="P184" s="20"/>
      <c r="Q184" s="22" t="s">
        <v>20</v>
      </c>
      <c r="R184" s="22" t="s">
        <v>18</v>
      </c>
      <c r="S184" s="20" t="s">
        <v>348</v>
      </c>
      <c r="T184" s="21">
        <v>19000</v>
      </c>
      <c r="U184" s="22" t="s">
        <v>656</v>
      </c>
      <c r="V184" s="21">
        <f t="shared" si="5"/>
        <v>368</v>
      </c>
      <c r="W184" s="22" t="str">
        <f>'PLANO DE SAÚDE'!C181</f>
        <v>15059</v>
      </c>
    </row>
    <row r="185" spans="1:23" x14ac:dyDescent="0.3">
      <c r="A185" s="20" t="s">
        <v>16</v>
      </c>
      <c r="B185" s="21">
        <f t="shared" si="4"/>
        <v>369</v>
      </c>
      <c r="C185" s="21">
        <v>1</v>
      </c>
      <c r="D185" s="22" t="s">
        <v>17</v>
      </c>
      <c r="E185" s="23">
        <v>43.650000000000006</v>
      </c>
      <c r="F185" s="22" t="s">
        <v>18</v>
      </c>
      <c r="G185" s="24">
        <v>46265</v>
      </c>
      <c r="H185" s="21">
        <v>1</v>
      </c>
      <c r="I185" s="22" t="s">
        <v>19</v>
      </c>
      <c r="J185" s="20"/>
      <c r="K185" s="20">
        <v>101</v>
      </c>
      <c r="L185" s="22" t="s">
        <v>447</v>
      </c>
      <c r="M185" s="22">
        <v>1</v>
      </c>
      <c r="N185" s="22">
        <v>31550109</v>
      </c>
      <c r="O185" s="25" t="s">
        <v>632</v>
      </c>
      <c r="P185" s="20"/>
      <c r="Q185" s="22" t="s">
        <v>20</v>
      </c>
      <c r="R185" s="22" t="s">
        <v>18</v>
      </c>
      <c r="S185" s="20" t="s">
        <v>349</v>
      </c>
      <c r="T185" s="21">
        <v>19000</v>
      </c>
      <c r="U185" s="22" t="s">
        <v>656</v>
      </c>
      <c r="V185" s="21">
        <f t="shared" si="5"/>
        <v>370</v>
      </c>
      <c r="W185" s="22" t="str">
        <f>'PLANO DE SAÚDE'!C182</f>
        <v>21011</v>
      </c>
    </row>
    <row r="186" spans="1:23" x14ac:dyDescent="0.3">
      <c r="A186" s="20" t="s">
        <v>16</v>
      </c>
      <c r="B186" s="21">
        <f t="shared" si="4"/>
        <v>371</v>
      </c>
      <c r="C186" s="21">
        <v>1</v>
      </c>
      <c r="D186" s="22" t="s">
        <v>17</v>
      </c>
      <c r="E186" s="23">
        <v>14.55</v>
      </c>
      <c r="F186" s="22" t="s">
        <v>18</v>
      </c>
      <c r="G186" s="24">
        <v>46265</v>
      </c>
      <c r="H186" s="21">
        <v>1</v>
      </c>
      <c r="I186" s="22" t="s">
        <v>19</v>
      </c>
      <c r="J186" s="20"/>
      <c r="K186" s="20">
        <v>101</v>
      </c>
      <c r="L186" s="22" t="s">
        <v>447</v>
      </c>
      <c r="M186" s="22">
        <v>1</v>
      </c>
      <c r="N186" s="22">
        <v>31550109</v>
      </c>
      <c r="O186" s="25" t="s">
        <v>633</v>
      </c>
      <c r="P186" s="20"/>
      <c r="Q186" s="22" t="s">
        <v>20</v>
      </c>
      <c r="R186" s="22" t="s">
        <v>18</v>
      </c>
      <c r="S186" s="20" t="s">
        <v>350</v>
      </c>
      <c r="T186" s="21">
        <v>19000</v>
      </c>
      <c r="U186" s="22" t="s">
        <v>656</v>
      </c>
      <c r="V186" s="21">
        <f t="shared" si="5"/>
        <v>372</v>
      </c>
      <c r="W186" s="22" t="str">
        <f>'PLANO DE SAÚDE'!C183</f>
        <v>21012</v>
      </c>
    </row>
    <row r="187" spans="1:23" x14ac:dyDescent="0.3">
      <c r="A187" s="20" t="s">
        <v>16</v>
      </c>
      <c r="B187" s="21">
        <f t="shared" si="4"/>
        <v>373</v>
      </c>
      <c r="C187" s="21">
        <v>1</v>
      </c>
      <c r="D187" s="22" t="s">
        <v>17</v>
      </c>
      <c r="E187" s="23">
        <v>43.65</v>
      </c>
      <c r="F187" s="22" t="s">
        <v>18</v>
      </c>
      <c r="G187" s="24">
        <v>46265</v>
      </c>
      <c r="H187" s="21">
        <v>1</v>
      </c>
      <c r="I187" s="22" t="s">
        <v>19</v>
      </c>
      <c r="J187" s="20"/>
      <c r="K187" s="20">
        <v>101</v>
      </c>
      <c r="L187" s="22" t="s">
        <v>447</v>
      </c>
      <c r="M187" s="22">
        <v>1</v>
      </c>
      <c r="N187" s="22">
        <v>31550109</v>
      </c>
      <c r="O187" s="25" t="s">
        <v>634</v>
      </c>
      <c r="P187" s="20"/>
      <c r="Q187" s="22" t="s">
        <v>20</v>
      </c>
      <c r="R187" s="22" t="s">
        <v>18</v>
      </c>
      <c r="S187" s="20" t="s">
        <v>353</v>
      </c>
      <c r="T187" s="21">
        <v>19000</v>
      </c>
      <c r="U187" s="22" t="s">
        <v>656</v>
      </c>
      <c r="V187" s="21">
        <f t="shared" si="5"/>
        <v>374</v>
      </c>
      <c r="W187" s="22" t="str">
        <f>'PLANO DE SAÚDE'!C184</f>
        <v>21013</v>
      </c>
    </row>
    <row r="188" spans="1:23" x14ac:dyDescent="0.3">
      <c r="A188" s="20" t="s">
        <v>16</v>
      </c>
      <c r="B188" s="21">
        <f t="shared" si="4"/>
        <v>375</v>
      </c>
      <c r="C188" s="21">
        <v>1</v>
      </c>
      <c r="D188" s="22" t="s">
        <v>17</v>
      </c>
      <c r="E188" s="23">
        <v>14.55</v>
      </c>
      <c r="F188" s="22" t="s">
        <v>18</v>
      </c>
      <c r="G188" s="24">
        <v>46265</v>
      </c>
      <c r="H188" s="21">
        <v>1</v>
      </c>
      <c r="I188" s="22" t="s">
        <v>19</v>
      </c>
      <c r="J188" s="20"/>
      <c r="K188" s="20">
        <v>101</v>
      </c>
      <c r="L188" s="22" t="s">
        <v>447</v>
      </c>
      <c r="M188" s="22">
        <v>1</v>
      </c>
      <c r="N188" s="22">
        <v>31550109</v>
      </c>
      <c r="O188" s="25" t="s">
        <v>635</v>
      </c>
      <c r="P188" s="20"/>
      <c r="Q188" s="22" t="s">
        <v>20</v>
      </c>
      <c r="R188" s="22" t="s">
        <v>18</v>
      </c>
      <c r="S188" s="20" t="s">
        <v>407</v>
      </c>
      <c r="T188" s="21">
        <v>19000</v>
      </c>
      <c r="U188" s="22" t="s">
        <v>656</v>
      </c>
      <c r="V188" s="21">
        <f t="shared" si="5"/>
        <v>376</v>
      </c>
      <c r="W188" s="22" t="str">
        <f>'PLANO DE SAÚDE'!C185</f>
        <v>31040</v>
      </c>
    </row>
    <row r="189" spans="1:23" x14ac:dyDescent="0.3">
      <c r="A189" s="20" t="s">
        <v>16</v>
      </c>
      <c r="B189" s="21">
        <f t="shared" si="4"/>
        <v>377</v>
      </c>
      <c r="C189" s="21">
        <v>1</v>
      </c>
      <c r="D189" s="22" t="s">
        <v>17</v>
      </c>
      <c r="E189" s="23">
        <v>349.20000000000005</v>
      </c>
      <c r="F189" s="22" t="s">
        <v>18</v>
      </c>
      <c r="G189" s="24">
        <v>46265</v>
      </c>
      <c r="H189" s="21">
        <v>1</v>
      </c>
      <c r="I189" s="22" t="s">
        <v>19</v>
      </c>
      <c r="J189" s="20"/>
      <c r="K189" s="20">
        <v>101</v>
      </c>
      <c r="L189" s="22" t="s">
        <v>447</v>
      </c>
      <c r="M189" s="22">
        <v>1</v>
      </c>
      <c r="N189" s="22">
        <v>31550109</v>
      </c>
      <c r="O189" s="25" t="s">
        <v>636</v>
      </c>
      <c r="P189" s="20"/>
      <c r="Q189" s="22" t="s">
        <v>20</v>
      </c>
      <c r="R189" s="22" t="s">
        <v>18</v>
      </c>
      <c r="S189" s="20" t="s">
        <v>355</v>
      </c>
      <c r="T189" s="21">
        <v>19000</v>
      </c>
      <c r="U189" s="22" t="s">
        <v>656</v>
      </c>
      <c r="V189" s="21">
        <f t="shared" si="5"/>
        <v>378</v>
      </c>
      <c r="W189" s="22" t="str">
        <f>'PLANO DE SAÚDE'!C186</f>
        <v>31060</v>
      </c>
    </row>
    <row r="190" spans="1:23" x14ac:dyDescent="0.3">
      <c r="A190" s="20" t="s">
        <v>16</v>
      </c>
      <c r="B190" s="21">
        <f t="shared" si="4"/>
        <v>379</v>
      </c>
      <c r="C190" s="21">
        <v>1</v>
      </c>
      <c r="D190" s="22" t="s">
        <v>17</v>
      </c>
      <c r="E190" s="23">
        <v>189.15000000000003</v>
      </c>
      <c r="F190" s="22" t="s">
        <v>18</v>
      </c>
      <c r="G190" s="24">
        <v>46265</v>
      </c>
      <c r="H190" s="21">
        <v>1</v>
      </c>
      <c r="I190" s="22" t="s">
        <v>19</v>
      </c>
      <c r="J190" s="20"/>
      <c r="K190" s="20">
        <v>101</v>
      </c>
      <c r="L190" s="22" t="s">
        <v>447</v>
      </c>
      <c r="M190" s="22">
        <v>1</v>
      </c>
      <c r="N190" s="22">
        <v>31550109</v>
      </c>
      <c r="O190" s="25" t="s">
        <v>637</v>
      </c>
      <c r="P190" s="20"/>
      <c r="Q190" s="22" t="s">
        <v>20</v>
      </c>
      <c r="R190" s="22" t="s">
        <v>18</v>
      </c>
      <c r="S190" s="20" t="s">
        <v>356</v>
      </c>
      <c r="T190" s="21">
        <v>19000</v>
      </c>
      <c r="U190" s="22" t="s">
        <v>656</v>
      </c>
      <c r="V190" s="21">
        <f t="shared" si="5"/>
        <v>380</v>
      </c>
      <c r="W190" s="22" t="str">
        <f>'PLANO DE SAÚDE'!C187</f>
        <v>31070</v>
      </c>
    </row>
    <row r="191" spans="1:23" x14ac:dyDescent="0.3">
      <c r="A191" s="20" t="s">
        <v>16</v>
      </c>
      <c r="B191" s="21">
        <f t="shared" si="4"/>
        <v>381</v>
      </c>
      <c r="C191" s="21">
        <v>1</v>
      </c>
      <c r="D191" s="22" t="s">
        <v>17</v>
      </c>
      <c r="E191" s="23">
        <v>29.1</v>
      </c>
      <c r="F191" s="22" t="s">
        <v>18</v>
      </c>
      <c r="G191" s="24">
        <v>46265</v>
      </c>
      <c r="H191" s="21">
        <v>1</v>
      </c>
      <c r="I191" s="22" t="s">
        <v>19</v>
      </c>
      <c r="J191" s="20"/>
      <c r="K191" s="20">
        <v>101</v>
      </c>
      <c r="L191" s="22" t="s">
        <v>447</v>
      </c>
      <c r="M191" s="22">
        <v>1</v>
      </c>
      <c r="N191" s="22">
        <v>31550109</v>
      </c>
      <c r="O191" s="25" t="s">
        <v>638</v>
      </c>
      <c r="P191" s="20"/>
      <c r="Q191" s="22" t="s">
        <v>20</v>
      </c>
      <c r="R191" s="22" t="s">
        <v>18</v>
      </c>
      <c r="S191" s="20" t="s">
        <v>357</v>
      </c>
      <c r="T191" s="21">
        <v>19000</v>
      </c>
      <c r="U191" s="22" t="s">
        <v>656</v>
      </c>
      <c r="V191" s="21">
        <f t="shared" si="5"/>
        <v>382</v>
      </c>
      <c r="W191" s="22" t="str">
        <f>'PLANO DE SAÚDE'!C188</f>
        <v>31090</v>
      </c>
    </row>
    <row r="192" spans="1:23" x14ac:dyDescent="0.3">
      <c r="A192" s="20" t="s">
        <v>16</v>
      </c>
      <c r="B192" s="21">
        <f t="shared" si="4"/>
        <v>383</v>
      </c>
      <c r="C192" s="21">
        <v>1</v>
      </c>
      <c r="D192" s="22" t="s">
        <v>17</v>
      </c>
      <c r="E192" s="23">
        <v>43.65</v>
      </c>
      <c r="F192" s="22" t="s">
        <v>18</v>
      </c>
      <c r="G192" s="24">
        <v>46265</v>
      </c>
      <c r="H192" s="21">
        <v>1</v>
      </c>
      <c r="I192" s="22" t="s">
        <v>19</v>
      </c>
      <c r="J192" s="20"/>
      <c r="K192" s="20">
        <v>106</v>
      </c>
      <c r="L192" s="22" t="s">
        <v>447</v>
      </c>
      <c r="M192" s="22">
        <v>1</v>
      </c>
      <c r="N192" s="22">
        <v>31550109</v>
      </c>
      <c r="O192" s="25" t="s">
        <v>639</v>
      </c>
      <c r="P192" s="20"/>
      <c r="Q192" s="22" t="s">
        <v>20</v>
      </c>
      <c r="R192" s="22" t="s">
        <v>18</v>
      </c>
      <c r="S192" s="20" t="s">
        <v>367</v>
      </c>
      <c r="T192" s="21">
        <v>19000</v>
      </c>
      <c r="U192" s="22" t="s">
        <v>656</v>
      </c>
      <c r="V192" s="21">
        <f t="shared" si="5"/>
        <v>384</v>
      </c>
      <c r="W192" s="22" t="str">
        <f>'PLANO DE SAÚDE'!C189</f>
        <v>31111</v>
      </c>
    </row>
    <row r="193" spans="1:23" x14ac:dyDescent="0.3">
      <c r="A193" s="20" t="s">
        <v>16</v>
      </c>
      <c r="B193" s="21">
        <f t="shared" si="4"/>
        <v>385</v>
      </c>
      <c r="C193" s="21">
        <v>1</v>
      </c>
      <c r="D193" s="22" t="s">
        <v>17</v>
      </c>
      <c r="E193" s="23">
        <v>68.53</v>
      </c>
      <c r="F193" s="22" t="s">
        <v>18</v>
      </c>
      <c r="G193" s="24">
        <v>46265</v>
      </c>
      <c r="H193" s="21">
        <v>1</v>
      </c>
      <c r="I193" s="22" t="s">
        <v>19</v>
      </c>
      <c r="J193" s="20"/>
      <c r="K193" s="20">
        <v>106</v>
      </c>
      <c r="L193" s="22" t="s">
        <v>447</v>
      </c>
      <c r="M193" s="22">
        <v>1</v>
      </c>
      <c r="N193" s="22">
        <v>31550109</v>
      </c>
      <c r="O193" s="25" t="s">
        <v>640</v>
      </c>
      <c r="P193" s="20"/>
      <c r="Q193" s="22" t="s">
        <v>20</v>
      </c>
      <c r="R193" s="22" t="s">
        <v>18</v>
      </c>
      <c r="S193" s="20">
        <v>22002</v>
      </c>
      <c r="T193" s="21">
        <v>19000</v>
      </c>
      <c r="U193" s="22" t="s">
        <v>656</v>
      </c>
      <c r="V193" s="21">
        <f t="shared" si="5"/>
        <v>386</v>
      </c>
      <c r="W193" s="22" t="str">
        <f>'PLANO DE SAÚDE'!C190</f>
        <v>31116</v>
      </c>
    </row>
    <row r="194" spans="1:23" x14ac:dyDescent="0.3">
      <c r="A194" s="20" t="s">
        <v>16</v>
      </c>
      <c r="B194" s="21">
        <f t="shared" si="4"/>
        <v>387</v>
      </c>
      <c r="C194" s="21">
        <v>1</v>
      </c>
      <c r="D194" s="22" t="s">
        <v>17</v>
      </c>
      <c r="E194" s="23">
        <v>160.05000000000001</v>
      </c>
      <c r="F194" s="22" t="s">
        <v>18</v>
      </c>
      <c r="G194" s="24">
        <v>46265</v>
      </c>
      <c r="H194" s="21">
        <v>1</v>
      </c>
      <c r="I194" s="22" t="s">
        <v>19</v>
      </c>
      <c r="J194" s="20"/>
      <c r="K194" s="20">
        <v>106</v>
      </c>
      <c r="L194" s="22" t="s">
        <v>447</v>
      </c>
      <c r="M194" s="22">
        <v>1</v>
      </c>
      <c r="N194" s="22">
        <v>31550109</v>
      </c>
      <c r="O194" s="25" t="s">
        <v>641</v>
      </c>
      <c r="P194" s="20"/>
      <c r="Q194" s="22" t="s">
        <v>20</v>
      </c>
      <c r="R194" s="22" t="s">
        <v>18</v>
      </c>
      <c r="S194" s="20">
        <v>32001</v>
      </c>
      <c r="T194" s="21">
        <v>19000</v>
      </c>
      <c r="U194" s="22" t="s">
        <v>656</v>
      </c>
      <c r="V194" s="21">
        <f t="shared" si="5"/>
        <v>388</v>
      </c>
      <c r="W194" s="22" t="str">
        <f>'PLANO DE SAÚDE'!C191</f>
        <v>31300</v>
      </c>
    </row>
    <row r="195" spans="1:23" x14ac:dyDescent="0.3">
      <c r="A195" s="20" t="s">
        <v>16</v>
      </c>
      <c r="B195" s="21">
        <f t="shared" ref="B195:B208" si="6">B194+2</f>
        <v>389</v>
      </c>
      <c r="C195" s="21">
        <v>1</v>
      </c>
      <c r="D195" s="22" t="s">
        <v>17</v>
      </c>
      <c r="E195" s="23">
        <v>421.95</v>
      </c>
      <c r="F195" s="22" t="s">
        <v>18</v>
      </c>
      <c r="G195" s="24">
        <v>46265</v>
      </c>
      <c r="H195" s="21">
        <v>1</v>
      </c>
      <c r="I195" s="22" t="s">
        <v>19</v>
      </c>
      <c r="J195" s="20"/>
      <c r="K195" s="20">
        <v>106</v>
      </c>
      <c r="L195" s="22" t="s">
        <v>447</v>
      </c>
      <c r="M195" s="22">
        <v>1</v>
      </c>
      <c r="N195" s="22">
        <v>31550109</v>
      </c>
      <c r="O195" s="25" t="s">
        <v>642</v>
      </c>
      <c r="P195" s="20"/>
      <c r="Q195" s="22" t="s">
        <v>20</v>
      </c>
      <c r="R195" s="22" t="s">
        <v>18</v>
      </c>
      <c r="S195" s="20">
        <v>32002</v>
      </c>
      <c r="T195" s="21">
        <v>19000</v>
      </c>
      <c r="U195" s="22" t="s">
        <v>656</v>
      </c>
      <c r="V195" s="21">
        <f t="shared" ref="V195:V208" si="7">V194+2</f>
        <v>390</v>
      </c>
      <c r="W195" s="22" t="str">
        <f>'PLANO DE SAÚDE'!C192</f>
        <v>33010</v>
      </c>
    </row>
    <row r="196" spans="1:23" x14ac:dyDescent="0.3">
      <c r="A196" s="20" t="s">
        <v>16</v>
      </c>
      <c r="B196" s="21">
        <f t="shared" si="6"/>
        <v>391</v>
      </c>
      <c r="C196" s="21">
        <v>1</v>
      </c>
      <c r="D196" s="22" t="s">
        <v>17</v>
      </c>
      <c r="E196" s="23">
        <v>334.65</v>
      </c>
      <c r="F196" s="22" t="s">
        <v>18</v>
      </c>
      <c r="G196" s="24">
        <v>46265</v>
      </c>
      <c r="H196" s="21">
        <v>1</v>
      </c>
      <c r="I196" s="22" t="s">
        <v>19</v>
      </c>
      <c r="J196" s="20"/>
      <c r="K196" s="20">
        <v>106</v>
      </c>
      <c r="L196" s="22" t="s">
        <v>447</v>
      </c>
      <c r="M196" s="22">
        <v>1</v>
      </c>
      <c r="N196" s="22">
        <v>31550109</v>
      </c>
      <c r="O196" s="25" t="s">
        <v>643</v>
      </c>
      <c r="P196" s="20"/>
      <c r="Q196" s="22" t="s">
        <v>20</v>
      </c>
      <c r="R196" s="22" t="s">
        <v>18</v>
      </c>
      <c r="S196" s="20">
        <v>32007</v>
      </c>
      <c r="T196" s="21">
        <v>19000</v>
      </c>
      <c r="U196" s="22" t="s">
        <v>656</v>
      </c>
      <c r="V196" s="21">
        <f t="shared" si="7"/>
        <v>392</v>
      </c>
      <c r="W196" s="22" t="str">
        <f>'PLANO DE SAÚDE'!C193</f>
        <v>33050</v>
      </c>
    </row>
    <row r="197" spans="1:23" x14ac:dyDescent="0.3">
      <c r="A197" s="20" t="s">
        <v>16</v>
      </c>
      <c r="B197" s="21">
        <f t="shared" si="6"/>
        <v>393</v>
      </c>
      <c r="C197" s="21">
        <v>1</v>
      </c>
      <c r="D197" s="22" t="s">
        <v>17</v>
      </c>
      <c r="E197" s="23">
        <v>641.14</v>
      </c>
      <c r="F197" s="22" t="s">
        <v>18</v>
      </c>
      <c r="G197" s="24">
        <v>46265</v>
      </c>
      <c r="H197" s="21">
        <v>1</v>
      </c>
      <c r="I197" s="22" t="s">
        <v>19</v>
      </c>
      <c r="J197" s="20"/>
      <c r="K197" s="20">
        <v>106</v>
      </c>
      <c r="L197" s="22" t="s">
        <v>447</v>
      </c>
      <c r="M197" s="22">
        <v>1</v>
      </c>
      <c r="N197" s="22">
        <v>31550109</v>
      </c>
      <c r="O197" s="25" t="s">
        <v>644</v>
      </c>
      <c r="P197" s="20"/>
      <c r="Q197" s="22" t="s">
        <v>20</v>
      </c>
      <c r="R197" s="22" t="s">
        <v>18</v>
      </c>
      <c r="S197" s="20">
        <v>32003</v>
      </c>
      <c r="T197" s="21">
        <v>19000</v>
      </c>
      <c r="U197" s="22" t="s">
        <v>656</v>
      </c>
      <c r="V197" s="21">
        <f t="shared" si="7"/>
        <v>394</v>
      </c>
      <c r="W197" s="22" t="str">
        <f>'PLANO DE SAÚDE'!C194</f>
        <v>33060</v>
      </c>
    </row>
    <row r="198" spans="1:23" x14ac:dyDescent="0.3">
      <c r="A198" s="20" t="s">
        <v>16</v>
      </c>
      <c r="B198" s="21">
        <f t="shared" si="6"/>
        <v>395</v>
      </c>
      <c r="C198" s="21">
        <v>1</v>
      </c>
      <c r="D198" s="22" t="s">
        <v>17</v>
      </c>
      <c r="E198" s="23">
        <v>58.2</v>
      </c>
      <c r="F198" s="22" t="s">
        <v>18</v>
      </c>
      <c r="G198" s="24">
        <v>46265</v>
      </c>
      <c r="H198" s="21">
        <v>1</v>
      </c>
      <c r="I198" s="22" t="s">
        <v>19</v>
      </c>
      <c r="J198" s="20"/>
      <c r="K198" s="20">
        <v>106</v>
      </c>
      <c r="L198" s="22" t="s">
        <v>447</v>
      </c>
      <c r="M198" s="22">
        <v>1</v>
      </c>
      <c r="N198" s="22">
        <v>31550109</v>
      </c>
      <c r="O198" s="25" t="s">
        <v>645</v>
      </c>
      <c r="P198" s="20"/>
      <c r="Q198" s="22" t="s">
        <v>20</v>
      </c>
      <c r="R198" s="22" t="s">
        <v>18</v>
      </c>
      <c r="S198" s="20">
        <v>32100</v>
      </c>
      <c r="T198" s="21">
        <v>19000</v>
      </c>
      <c r="U198" s="22" t="s">
        <v>656</v>
      </c>
      <c r="V198" s="21">
        <f t="shared" si="7"/>
        <v>396</v>
      </c>
      <c r="W198" s="22" t="e">
        <f>'PLANO DE SAÚDE'!#REF!</f>
        <v>#REF!</v>
      </c>
    </row>
    <row r="199" spans="1:23" x14ac:dyDescent="0.3">
      <c r="A199" s="20" t="s">
        <v>16</v>
      </c>
      <c r="B199" s="21">
        <f t="shared" si="6"/>
        <v>397</v>
      </c>
      <c r="C199" s="21">
        <v>1</v>
      </c>
      <c r="D199" s="22" t="s">
        <v>17</v>
      </c>
      <c r="E199" s="23">
        <v>29.1</v>
      </c>
      <c r="F199" s="22" t="s">
        <v>18</v>
      </c>
      <c r="G199" s="24">
        <v>46265</v>
      </c>
      <c r="H199" s="21">
        <v>1</v>
      </c>
      <c r="I199" s="22" t="s">
        <v>19</v>
      </c>
      <c r="J199" s="20"/>
      <c r="K199" s="20">
        <v>106</v>
      </c>
      <c r="L199" s="22" t="s">
        <v>447</v>
      </c>
      <c r="M199" s="22">
        <v>1</v>
      </c>
      <c r="N199" s="22">
        <v>31550109</v>
      </c>
      <c r="O199" s="25" t="s">
        <v>646</v>
      </c>
      <c r="P199" s="20"/>
      <c r="Q199" s="22" t="s">
        <v>20</v>
      </c>
      <c r="R199" s="22" t="s">
        <v>18</v>
      </c>
      <c r="S199" s="20" t="s">
        <v>335</v>
      </c>
      <c r="T199" s="21">
        <v>19000</v>
      </c>
      <c r="U199" s="22" t="s">
        <v>656</v>
      </c>
      <c r="V199" s="21">
        <f t="shared" si="7"/>
        <v>398</v>
      </c>
      <c r="W199" s="22" t="e">
        <f>'PLANO DE SAÚDE'!#REF!</f>
        <v>#REF!</v>
      </c>
    </row>
    <row r="200" spans="1:23" x14ac:dyDescent="0.3">
      <c r="A200" s="20" t="s">
        <v>16</v>
      </c>
      <c r="B200" s="21">
        <f t="shared" si="6"/>
        <v>399</v>
      </c>
      <c r="C200" s="21">
        <v>1</v>
      </c>
      <c r="D200" s="22" t="s">
        <v>17</v>
      </c>
      <c r="E200" s="23">
        <v>87.3</v>
      </c>
      <c r="F200" s="22" t="s">
        <v>18</v>
      </c>
      <c r="G200" s="24">
        <v>46265</v>
      </c>
      <c r="H200" s="21">
        <v>1</v>
      </c>
      <c r="I200" s="22" t="s">
        <v>19</v>
      </c>
      <c r="J200" s="20"/>
      <c r="K200" s="20">
        <v>106</v>
      </c>
      <c r="L200" s="22" t="s">
        <v>447</v>
      </c>
      <c r="M200" s="22">
        <v>1</v>
      </c>
      <c r="N200" s="22">
        <v>31550109</v>
      </c>
      <c r="O200" s="25" t="s">
        <v>647</v>
      </c>
      <c r="P200" s="20"/>
      <c r="Q200" s="22" t="s">
        <v>20</v>
      </c>
      <c r="R200" s="22" t="s">
        <v>18</v>
      </c>
      <c r="S200" s="20">
        <v>32001</v>
      </c>
      <c r="T200" s="21">
        <v>19000</v>
      </c>
      <c r="U200" s="22" t="s">
        <v>656</v>
      </c>
      <c r="V200" s="21">
        <f t="shared" si="7"/>
        <v>400</v>
      </c>
      <c r="W200" s="22" t="e">
        <f>'PLANO DE SAÚDE'!#REF!</f>
        <v>#REF!</v>
      </c>
    </row>
    <row r="201" spans="1:23" x14ac:dyDescent="0.3">
      <c r="A201" s="20" t="s">
        <v>16</v>
      </c>
      <c r="B201" s="21">
        <f t="shared" si="6"/>
        <v>401</v>
      </c>
      <c r="C201" s="21">
        <v>1</v>
      </c>
      <c r="D201" s="22" t="s">
        <v>17</v>
      </c>
      <c r="E201" s="23">
        <v>1725.98</v>
      </c>
      <c r="F201" s="22" t="s">
        <v>18</v>
      </c>
      <c r="G201" s="24">
        <v>46265</v>
      </c>
      <c r="H201" s="21">
        <v>1</v>
      </c>
      <c r="I201" s="22" t="s">
        <v>19</v>
      </c>
      <c r="J201" s="20"/>
      <c r="K201" s="20">
        <v>104</v>
      </c>
      <c r="L201" s="22" t="s">
        <v>447</v>
      </c>
      <c r="M201" s="22">
        <v>1</v>
      </c>
      <c r="N201" s="22">
        <v>31550109</v>
      </c>
      <c r="O201" s="25" t="s">
        <v>648</v>
      </c>
      <c r="P201" s="20"/>
      <c r="Q201" s="22" t="s">
        <v>20</v>
      </c>
      <c r="R201" s="22" t="s">
        <v>18</v>
      </c>
      <c r="S201" s="20">
        <v>22002</v>
      </c>
      <c r="T201" s="21">
        <v>19000</v>
      </c>
      <c r="U201" s="22" t="s">
        <v>656</v>
      </c>
      <c r="V201" s="21">
        <f t="shared" si="7"/>
        <v>402</v>
      </c>
      <c r="W201" s="22" t="str">
        <f>'PLANO DE SAÚDE'!C195</f>
        <v>32003</v>
      </c>
    </row>
    <row r="202" spans="1:23" x14ac:dyDescent="0.3">
      <c r="A202" s="20" t="s">
        <v>16</v>
      </c>
      <c r="B202" s="21">
        <f t="shared" si="6"/>
        <v>403</v>
      </c>
      <c r="C202" s="21">
        <v>1</v>
      </c>
      <c r="D202" s="22" t="s">
        <v>17</v>
      </c>
      <c r="E202" s="23">
        <v>627.78</v>
      </c>
      <c r="F202" s="22" t="s">
        <v>18</v>
      </c>
      <c r="G202" s="24">
        <v>46265</v>
      </c>
      <c r="H202" s="21">
        <v>1</v>
      </c>
      <c r="I202" s="22" t="s">
        <v>19</v>
      </c>
      <c r="J202" s="20"/>
      <c r="K202" s="20">
        <v>106</v>
      </c>
      <c r="L202" s="22" t="s">
        <v>447</v>
      </c>
      <c r="M202" s="22">
        <v>1</v>
      </c>
      <c r="N202" s="22">
        <v>31550109</v>
      </c>
      <c r="O202" s="25" t="s">
        <v>649</v>
      </c>
      <c r="P202" s="20"/>
      <c r="Q202" s="22" t="s">
        <v>20</v>
      </c>
      <c r="R202" s="22" t="s">
        <v>18</v>
      </c>
      <c r="S202" s="20" t="s">
        <v>335</v>
      </c>
      <c r="T202" s="21">
        <v>19000</v>
      </c>
      <c r="U202" s="22" t="s">
        <v>656</v>
      </c>
      <c r="V202" s="21">
        <f t="shared" si="7"/>
        <v>404</v>
      </c>
      <c r="W202" s="22">
        <f>'PLANO DE SAÚDE'!C196</f>
        <v>22002</v>
      </c>
    </row>
    <row r="203" spans="1:23" x14ac:dyDescent="0.3">
      <c r="A203" s="20" t="s">
        <v>16</v>
      </c>
      <c r="B203" s="21">
        <f t="shared" si="6"/>
        <v>405</v>
      </c>
      <c r="C203" s="21">
        <v>1</v>
      </c>
      <c r="D203" s="22" t="s">
        <v>17</v>
      </c>
      <c r="E203" s="23">
        <v>1275.6300000000001</v>
      </c>
      <c r="F203" s="22" t="s">
        <v>18</v>
      </c>
      <c r="G203" s="24">
        <v>46265</v>
      </c>
      <c r="H203" s="21">
        <v>1</v>
      </c>
      <c r="I203" s="22" t="s">
        <v>19</v>
      </c>
      <c r="J203" s="20"/>
      <c r="K203" s="20">
        <v>106</v>
      </c>
      <c r="L203" s="22" t="s">
        <v>447</v>
      </c>
      <c r="M203" s="22">
        <v>1</v>
      </c>
      <c r="N203" s="22">
        <v>31550109</v>
      </c>
      <c r="O203" s="25" t="s">
        <v>650</v>
      </c>
      <c r="P203" s="20"/>
      <c r="Q203" s="22" t="s">
        <v>20</v>
      </c>
      <c r="R203" s="22" t="s">
        <v>18</v>
      </c>
      <c r="S203" s="20" t="s">
        <v>365</v>
      </c>
      <c r="T203" s="21">
        <v>19000</v>
      </c>
      <c r="U203" s="22" t="s">
        <v>656</v>
      </c>
      <c r="V203" s="21">
        <f t="shared" si="7"/>
        <v>406</v>
      </c>
      <c r="W203" s="22" t="e">
        <f>'PLANO DE SAÚDE'!#REF!</f>
        <v>#REF!</v>
      </c>
    </row>
    <row r="204" spans="1:23" x14ac:dyDescent="0.3">
      <c r="A204" s="20" t="s">
        <v>16</v>
      </c>
      <c r="B204" s="21">
        <f t="shared" si="6"/>
        <v>407</v>
      </c>
      <c r="C204" s="21">
        <v>1</v>
      </c>
      <c r="D204" s="22" t="s">
        <v>17</v>
      </c>
      <c r="E204" s="23">
        <v>7297.04</v>
      </c>
      <c r="F204" s="22" t="s">
        <v>18</v>
      </c>
      <c r="G204" s="24">
        <v>46265</v>
      </c>
      <c r="H204" s="21">
        <v>1</v>
      </c>
      <c r="I204" s="22" t="s">
        <v>19</v>
      </c>
      <c r="J204" s="20"/>
      <c r="K204" s="20">
        <v>106</v>
      </c>
      <c r="L204" s="22" t="s">
        <v>447</v>
      </c>
      <c r="M204" s="22">
        <v>1</v>
      </c>
      <c r="N204" s="22">
        <v>31550109</v>
      </c>
      <c r="O204" s="25" t="s">
        <v>651</v>
      </c>
      <c r="P204" s="20"/>
      <c r="Q204" s="22" t="s">
        <v>20</v>
      </c>
      <c r="R204" s="22" t="s">
        <v>18</v>
      </c>
      <c r="S204" s="20" t="s">
        <v>366</v>
      </c>
      <c r="T204" s="21">
        <v>19000</v>
      </c>
      <c r="U204" s="22" t="s">
        <v>656</v>
      </c>
      <c r="V204" s="21">
        <f t="shared" si="7"/>
        <v>408</v>
      </c>
      <c r="W204" s="22">
        <f>'PLANO DE SAÚDE'!C197</f>
        <v>32001</v>
      </c>
    </row>
    <row r="205" spans="1:23" x14ac:dyDescent="0.3">
      <c r="A205" s="20" t="s">
        <v>16</v>
      </c>
      <c r="B205" s="21">
        <f t="shared" si="6"/>
        <v>409</v>
      </c>
      <c r="C205" s="21">
        <v>1</v>
      </c>
      <c r="D205" s="22" t="s">
        <v>17</v>
      </c>
      <c r="E205" s="23">
        <v>5276.25</v>
      </c>
      <c r="F205" s="22" t="s">
        <v>18</v>
      </c>
      <c r="G205" s="24">
        <v>46265</v>
      </c>
      <c r="H205" s="21">
        <v>1</v>
      </c>
      <c r="I205" s="22" t="s">
        <v>19</v>
      </c>
      <c r="J205" s="20"/>
      <c r="K205" s="20">
        <v>106</v>
      </c>
      <c r="L205" s="22" t="s">
        <v>447</v>
      </c>
      <c r="M205" s="22">
        <v>1</v>
      </c>
      <c r="N205" s="22">
        <v>31550109</v>
      </c>
      <c r="O205" s="25" t="s">
        <v>652</v>
      </c>
      <c r="P205" s="20"/>
      <c r="Q205" s="22" t="s">
        <v>20</v>
      </c>
      <c r="R205" s="22" t="s">
        <v>18</v>
      </c>
      <c r="S205" s="20" t="s">
        <v>367</v>
      </c>
      <c r="T205" s="21">
        <v>19000</v>
      </c>
      <c r="U205" s="22" t="s">
        <v>656</v>
      </c>
      <c r="V205" s="21">
        <f t="shared" si="7"/>
        <v>410</v>
      </c>
      <c r="W205" s="22">
        <f>'PLANO DE SAÚDE'!C198</f>
        <v>32002</v>
      </c>
    </row>
    <row r="206" spans="1:23" x14ac:dyDescent="0.3">
      <c r="A206" s="20" t="s">
        <v>16</v>
      </c>
      <c r="B206" s="21">
        <f t="shared" si="6"/>
        <v>411</v>
      </c>
      <c r="C206" s="21">
        <v>1</v>
      </c>
      <c r="D206" s="22" t="s">
        <v>17</v>
      </c>
      <c r="E206" s="23">
        <v>4354.03</v>
      </c>
      <c r="F206" s="22" t="s">
        <v>18</v>
      </c>
      <c r="G206" s="24">
        <v>46265</v>
      </c>
      <c r="H206" s="21">
        <v>1</v>
      </c>
      <c r="I206" s="22" t="s">
        <v>19</v>
      </c>
      <c r="J206" s="20"/>
      <c r="K206" s="20">
        <v>106</v>
      </c>
      <c r="L206" s="22" t="s">
        <v>447</v>
      </c>
      <c r="M206" s="22">
        <v>1</v>
      </c>
      <c r="N206" s="22">
        <v>31550109</v>
      </c>
      <c r="O206" s="25" t="s">
        <v>653</v>
      </c>
      <c r="P206" s="20"/>
      <c r="Q206" s="22" t="s">
        <v>20</v>
      </c>
      <c r="R206" s="22" t="s">
        <v>18</v>
      </c>
      <c r="S206" s="20" t="s">
        <v>368</v>
      </c>
      <c r="T206" s="21">
        <v>19000</v>
      </c>
      <c r="U206" s="22" t="s">
        <v>656</v>
      </c>
      <c r="V206" s="21">
        <f t="shared" si="7"/>
        <v>412</v>
      </c>
      <c r="W206" s="22">
        <f>'PLANO DE SAÚDE'!C199</f>
        <v>32007</v>
      </c>
    </row>
    <row r="207" spans="1:23" x14ac:dyDescent="0.3">
      <c r="A207" s="20" t="s">
        <v>16</v>
      </c>
      <c r="B207" s="21">
        <f t="shared" si="6"/>
        <v>413</v>
      </c>
      <c r="C207" s="21">
        <v>1</v>
      </c>
      <c r="D207" s="22" t="s">
        <v>17</v>
      </c>
      <c r="E207" s="23">
        <v>1580.65</v>
      </c>
      <c r="F207" s="22" t="s">
        <v>18</v>
      </c>
      <c r="G207" s="24">
        <v>46265</v>
      </c>
      <c r="H207" s="21">
        <v>1</v>
      </c>
      <c r="I207" s="22" t="s">
        <v>19</v>
      </c>
      <c r="J207" s="20"/>
      <c r="K207" s="20">
        <v>106</v>
      </c>
      <c r="L207" s="22" t="s">
        <v>447</v>
      </c>
      <c r="M207" s="22">
        <v>1</v>
      </c>
      <c r="N207" s="22">
        <v>31550109</v>
      </c>
      <c r="O207" s="25" t="s">
        <v>654</v>
      </c>
      <c r="P207" s="20"/>
      <c r="Q207" s="22" t="s">
        <v>20</v>
      </c>
      <c r="R207" s="22" t="s">
        <v>18</v>
      </c>
      <c r="S207" s="20" t="s">
        <v>369</v>
      </c>
      <c r="T207" s="21">
        <v>19000</v>
      </c>
      <c r="U207" s="22" t="s">
        <v>656</v>
      </c>
      <c r="V207" s="21">
        <f t="shared" si="7"/>
        <v>414</v>
      </c>
      <c r="W207" s="22">
        <f>'PLANO DE SAÚDE'!C200</f>
        <v>32003</v>
      </c>
    </row>
    <row r="208" spans="1:23" x14ac:dyDescent="0.3">
      <c r="A208" s="20" t="s">
        <v>16</v>
      </c>
      <c r="B208" s="21">
        <f t="shared" si="6"/>
        <v>415</v>
      </c>
      <c r="C208" s="21">
        <v>1</v>
      </c>
      <c r="D208" s="22" t="s">
        <v>17</v>
      </c>
      <c r="E208" s="23">
        <v>1237.33</v>
      </c>
      <c r="F208" s="22" t="s">
        <v>18</v>
      </c>
      <c r="G208" s="24">
        <v>46265</v>
      </c>
      <c r="H208" s="21">
        <v>1</v>
      </c>
      <c r="I208" s="22" t="s">
        <v>19</v>
      </c>
      <c r="K208" s="20">
        <v>106</v>
      </c>
      <c r="L208" s="22" t="s">
        <v>447</v>
      </c>
      <c r="M208" s="22">
        <v>1</v>
      </c>
      <c r="N208" s="22">
        <v>31550109</v>
      </c>
      <c r="O208" s="25" t="s">
        <v>655</v>
      </c>
      <c r="Q208" s="22" t="s">
        <v>20</v>
      </c>
      <c r="R208" s="22" t="s">
        <v>18</v>
      </c>
      <c r="S208" s="20">
        <v>34001</v>
      </c>
      <c r="T208" s="21">
        <v>19000</v>
      </c>
      <c r="U208" s="22" t="s">
        <v>656</v>
      </c>
      <c r="V208" s="21">
        <f t="shared" si="7"/>
        <v>416</v>
      </c>
      <c r="W208" s="22">
        <f>'PLANO DE SAÚDE'!C201</f>
        <v>32100</v>
      </c>
    </row>
  </sheetData>
  <autoFilter ref="A1:AL1" xr:uid="{00000000-0001-0000-0100-000000000000}"/>
  <phoneticPr fontId="23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1"/>
  <sheetViews>
    <sheetView workbookViewId="0"/>
  </sheetViews>
  <sheetFormatPr defaultRowHeight="14.4" x14ac:dyDescent="0.3"/>
  <sheetData>
    <row r="1" spans="1:2" x14ac:dyDescent="0.3">
      <c r="A1" t="s">
        <v>21</v>
      </c>
      <c r="B1" t="s">
        <v>152</v>
      </c>
    </row>
    <row r="2" spans="1:2" x14ac:dyDescent="0.3">
      <c r="A2" t="s">
        <v>22</v>
      </c>
      <c r="B2" t="s">
        <v>153</v>
      </c>
    </row>
    <row r="3" spans="1:2" x14ac:dyDescent="0.3">
      <c r="A3" t="s">
        <v>23</v>
      </c>
      <c r="B3" t="s">
        <v>154</v>
      </c>
    </row>
    <row r="4" spans="1:2" x14ac:dyDescent="0.3">
      <c r="A4" t="s">
        <v>24</v>
      </c>
      <c r="B4" t="s">
        <v>155</v>
      </c>
    </row>
    <row r="5" spans="1:2" x14ac:dyDescent="0.3">
      <c r="A5" t="s">
        <v>25</v>
      </c>
      <c r="B5" t="s">
        <v>156</v>
      </c>
    </row>
    <row r="6" spans="1:2" x14ac:dyDescent="0.3">
      <c r="A6" t="s">
        <v>26</v>
      </c>
      <c r="B6" t="s">
        <v>157</v>
      </c>
    </row>
    <row r="7" spans="1:2" x14ac:dyDescent="0.3">
      <c r="A7" t="s">
        <v>27</v>
      </c>
      <c r="B7" t="s">
        <v>158</v>
      </c>
    </row>
    <row r="8" spans="1:2" x14ac:dyDescent="0.3">
      <c r="A8" t="s">
        <v>28</v>
      </c>
      <c r="B8" t="s">
        <v>159</v>
      </c>
    </row>
    <row r="9" spans="1:2" x14ac:dyDescent="0.3">
      <c r="A9" t="s">
        <v>29</v>
      </c>
      <c r="B9" t="s">
        <v>160</v>
      </c>
    </row>
    <row r="10" spans="1:2" x14ac:dyDescent="0.3">
      <c r="A10" t="s">
        <v>30</v>
      </c>
      <c r="B10" t="s">
        <v>161</v>
      </c>
    </row>
    <row r="11" spans="1:2" x14ac:dyDescent="0.3">
      <c r="A11" t="s">
        <v>31</v>
      </c>
      <c r="B11" t="s">
        <v>162</v>
      </c>
    </row>
    <row r="12" spans="1:2" x14ac:dyDescent="0.3">
      <c r="A12" t="s">
        <v>32</v>
      </c>
      <c r="B12" t="s">
        <v>163</v>
      </c>
    </row>
    <row r="13" spans="1:2" x14ac:dyDescent="0.3">
      <c r="A13" t="s">
        <v>33</v>
      </c>
      <c r="B13" t="s">
        <v>164</v>
      </c>
    </row>
    <row r="14" spans="1:2" x14ac:dyDescent="0.3">
      <c r="A14" t="s">
        <v>34</v>
      </c>
      <c r="B14" t="s">
        <v>165</v>
      </c>
    </row>
    <row r="15" spans="1:2" x14ac:dyDescent="0.3">
      <c r="A15" t="s">
        <v>35</v>
      </c>
      <c r="B15" t="s">
        <v>166</v>
      </c>
    </row>
    <row r="16" spans="1:2" x14ac:dyDescent="0.3">
      <c r="A16" t="s">
        <v>36</v>
      </c>
      <c r="B16" t="s">
        <v>167</v>
      </c>
    </row>
    <row r="17" spans="1:2" x14ac:dyDescent="0.3">
      <c r="A17" t="s">
        <v>37</v>
      </c>
      <c r="B17" t="s">
        <v>168</v>
      </c>
    </row>
    <row r="18" spans="1:2" x14ac:dyDescent="0.3">
      <c r="A18" t="s">
        <v>38</v>
      </c>
      <c r="B18" t="s">
        <v>169</v>
      </c>
    </row>
    <row r="19" spans="1:2" x14ac:dyDescent="0.3">
      <c r="A19" t="s">
        <v>39</v>
      </c>
      <c r="B19" t="s">
        <v>170</v>
      </c>
    </row>
    <row r="20" spans="1:2" x14ac:dyDescent="0.3">
      <c r="A20" t="s">
        <v>40</v>
      </c>
      <c r="B20" t="s">
        <v>171</v>
      </c>
    </row>
    <row r="21" spans="1:2" x14ac:dyDescent="0.3">
      <c r="A21" t="s">
        <v>41</v>
      </c>
      <c r="B21" t="s">
        <v>172</v>
      </c>
    </row>
    <row r="22" spans="1:2" x14ac:dyDescent="0.3">
      <c r="A22" t="s">
        <v>42</v>
      </c>
      <c r="B22" t="s">
        <v>173</v>
      </c>
    </row>
    <row r="23" spans="1:2" x14ac:dyDescent="0.3">
      <c r="A23" t="s">
        <v>43</v>
      </c>
      <c r="B23" t="s">
        <v>174</v>
      </c>
    </row>
    <row r="24" spans="1:2" x14ac:dyDescent="0.3">
      <c r="A24" t="s">
        <v>44</v>
      </c>
      <c r="B24" t="s">
        <v>175</v>
      </c>
    </row>
    <row r="25" spans="1:2" x14ac:dyDescent="0.3">
      <c r="A25" t="s">
        <v>45</v>
      </c>
      <c r="B25" t="s">
        <v>176</v>
      </c>
    </row>
    <row r="26" spans="1:2" x14ac:dyDescent="0.3">
      <c r="A26" t="s">
        <v>46</v>
      </c>
      <c r="B26" t="s">
        <v>177</v>
      </c>
    </row>
    <row r="27" spans="1:2" x14ac:dyDescent="0.3">
      <c r="A27" t="s">
        <v>47</v>
      </c>
      <c r="B27" t="s">
        <v>178</v>
      </c>
    </row>
    <row r="28" spans="1:2" x14ac:dyDescent="0.3">
      <c r="A28" t="s">
        <v>48</v>
      </c>
      <c r="B28" t="s">
        <v>179</v>
      </c>
    </row>
    <row r="29" spans="1:2" x14ac:dyDescent="0.3">
      <c r="A29" t="s">
        <v>49</v>
      </c>
      <c r="B29" t="s">
        <v>180</v>
      </c>
    </row>
    <row r="30" spans="1:2" x14ac:dyDescent="0.3">
      <c r="A30" t="s">
        <v>50</v>
      </c>
      <c r="B30" t="s">
        <v>181</v>
      </c>
    </row>
    <row r="31" spans="1:2" x14ac:dyDescent="0.3">
      <c r="A31" t="s">
        <v>51</v>
      </c>
      <c r="B31" t="s">
        <v>182</v>
      </c>
    </row>
    <row r="32" spans="1:2" x14ac:dyDescent="0.3">
      <c r="A32" t="s">
        <v>52</v>
      </c>
      <c r="B32" t="s">
        <v>183</v>
      </c>
    </row>
    <row r="33" spans="1:2" x14ac:dyDescent="0.3">
      <c r="A33" t="s">
        <v>53</v>
      </c>
      <c r="B33" t="s">
        <v>184</v>
      </c>
    </row>
    <row r="34" spans="1:2" x14ac:dyDescent="0.3">
      <c r="A34" t="s">
        <v>54</v>
      </c>
      <c r="B34" t="s">
        <v>185</v>
      </c>
    </row>
    <row r="35" spans="1:2" x14ac:dyDescent="0.3">
      <c r="A35" t="s">
        <v>55</v>
      </c>
      <c r="B35" t="s">
        <v>186</v>
      </c>
    </row>
    <row r="36" spans="1:2" x14ac:dyDescent="0.3">
      <c r="A36" t="s">
        <v>56</v>
      </c>
      <c r="B36" t="s">
        <v>187</v>
      </c>
    </row>
    <row r="37" spans="1:2" x14ac:dyDescent="0.3">
      <c r="A37" t="s">
        <v>57</v>
      </c>
      <c r="B37" t="s">
        <v>188</v>
      </c>
    </row>
    <row r="38" spans="1:2" x14ac:dyDescent="0.3">
      <c r="A38" t="s">
        <v>58</v>
      </c>
      <c r="B38" t="s">
        <v>189</v>
      </c>
    </row>
    <row r="39" spans="1:2" x14ac:dyDescent="0.3">
      <c r="A39" t="s">
        <v>59</v>
      </c>
      <c r="B39" t="s">
        <v>190</v>
      </c>
    </row>
    <row r="40" spans="1:2" x14ac:dyDescent="0.3">
      <c r="A40" t="s">
        <v>60</v>
      </c>
      <c r="B40" t="s">
        <v>191</v>
      </c>
    </row>
    <row r="41" spans="1:2" x14ac:dyDescent="0.3">
      <c r="A41" t="s">
        <v>61</v>
      </c>
      <c r="B41" t="s">
        <v>192</v>
      </c>
    </row>
    <row r="42" spans="1:2" x14ac:dyDescent="0.3">
      <c r="A42" t="s">
        <v>62</v>
      </c>
      <c r="B42" t="s">
        <v>193</v>
      </c>
    </row>
    <row r="43" spans="1:2" x14ac:dyDescent="0.3">
      <c r="A43" t="s">
        <v>63</v>
      </c>
      <c r="B43" t="s">
        <v>194</v>
      </c>
    </row>
    <row r="44" spans="1:2" x14ac:dyDescent="0.3">
      <c r="A44" t="s">
        <v>64</v>
      </c>
      <c r="B44" t="s">
        <v>195</v>
      </c>
    </row>
    <row r="45" spans="1:2" x14ac:dyDescent="0.3">
      <c r="A45" t="s">
        <v>65</v>
      </c>
      <c r="B45" t="s">
        <v>196</v>
      </c>
    </row>
    <row r="46" spans="1:2" x14ac:dyDescent="0.3">
      <c r="A46" t="s">
        <v>66</v>
      </c>
      <c r="B46" t="s">
        <v>197</v>
      </c>
    </row>
    <row r="47" spans="1:2" x14ac:dyDescent="0.3">
      <c r="A47" t="s">
        <v>67</v>
      </c>
      <c r="B47" t="s">
        <v>198</v>
      </c>
    </row>
    <row r="48" spans="1:2" x14ac:dyDescent="0.3">
      <c r="A48" t="s">
        <v>68</v>
      </c>
      <c r="B48" t="s">
        <v>199</v>
      </c>
    </row>
    <row r="49" spans="1:2" x14ac:dyDescent="0.3">
      <c r="A49" t="s">
        <v>69</v>
      </c>
      <c r="B49" t="s">
        <v>200</v>
      </c>
    </row>
    <row r="50" spans="1:2" x14ac:dyDescent="0.3">
      <c r="A50" t="s">
        <v>70</v>
      </c>
      <c r="B50" t="s">
        <v>201</v>
      </c>
    </row>
    <row r="51" spans="1:2" x14ac:dyDescent="0.3">
      <c r="A51" t="s">
        <v>71</v>
      </c>
      <c r="B51" t="s">
        <v>202</v>
      </c>
    </row>
    <row r="52" spans="1:2" x14ac:dyDescent="0.3">
      <c r="A52" t="s">
        <v>72</v>
      </c>
      <c r="B52" t="s">
        <v>203</v>
      </c>
    </row>
    <row r="53" spans="1:2" x14ac:dyDescent="0.3">
      <c r="A53" t="s">
        <v>73</v>
      </c>
      <c r="B53" t="s">
        <v>204</v>
      </c>
    </row>
    <row r="54" spans="1:2" x14ac:dyDescent="0.3">
      <c r="A54" t="s">
        <v>74</v>
      </c>
      <c r="B54" t="s">
        <v>205</v>
      </c>
    </row>
    <row r="55" spans="1:2" x14ac:dyDescent="0.3">
      <c r="A55" t="s">
        <v>75</v>
      </c>
      <c r="B55" t="s">
        <v>206</v>
      </c>
    </row>
    <row r="56" spans="1:2" x14ac:dyDescent="0.3">
      <c r="A56" t="s">
        <v>76</v>
      </c>
      <c r="B56" t="s">
        <v>207</v>
      </c>
    </row>
    <row r="57" spans="1:2" x14ac:dyDescent="0.3">
      <c r="A57" t="s">
        <v>77</v>
      </c>
      <c r="B57" t="s">
        <v>208</v>
      </c>
    </row>
    <row r="58" spans="1:2" x14ac:dyDescent="0.3">
      <c r="A58" t="s">
        <v>78</v>
      </c>
      <c r="B58" t="s">
        <v>209</v>
      </c>
    </row>
    <row r="59" spans="1:2" x14ac:dyDescent="0.3">
      <c r="A59" t="s">
        <v>79</v>
      </c>
      <c r="B59" t="s">
        <v>210</v>
      </c>
    </row>
    <row r="60" spans="1:2" x14ac:dyDescent="0.3">
      <c r="A60" t="s">
        <v>80</v>
      </c>
      <c r="B60" t="s">
        <v>211</v>
      </c>
    </row>
    <row r="61" spans="1:2" x14ac:dyDescent="0.3">
      <c r="A61" t="s">
        <v>81</v>
      </c>
      <c r="B61" t="s">
        <v>212</v>
      </c>
    </row>
    <row r="62" spans="1:2" x14ac:dyDescent="0.3">
      <c r="A62" t="s">
        <v>82</v>
      </c>
      <c r="B62" t="s">
        <v>213</v>
      </c>
    </row>
    <row r="63" spans="1:2" x14ac:dyDescent="0.3">
      <c r="A63" t="s">
        <v>83</v>
      </c>
      <c r="B63" t="s">
        <v>214</v>
      </c>
    </row>
    <row r="64" spans="1:2" x14ac:dyDescent="0.3">
      <c r="A64" t="s">
        <v>84</v>
      </c>
      <c r="B64" t="s">
        <v>215</v>
      </c>
    </row>
    <row r="65" spans="1:2" x14ac:dyDescent="0.3">
      <c r="A65" t="s">
        <v>85</v>
      </c>
      <c r="B65" t="s">
        <v>216</v>
      </c>
    </row>
    <row r="66" spans="1:2" x14ac:dyDescent="0.3">
      <c r="A66" t="s">
        <v>86</v>
      </c>
      <c r="B66" t="s">
        <v>217</v>
      </c>
    </row>
    <row r="67" spans="1:2" x14ac:dyDescent="0.3">
      <c r="A67" t="s">
        <v>87</v>
      </c>
      <c r="B67" t="s">
        <v>218</v>
      </c>
    </row>
    <row r="68" spans="1:2" x14ac:dyDescent="0.3">
      <c r="A68" t="s">
        <v>88</v>
      </c>
      <c r="B68" t="s">
        <v>219</v>
      </c>
    </row>
    <row r="69" spans="1:2" x14ac:dyDescent="0.3">
      <c r="A69" t="s">
        <v>89</v>
      </c>
      <c r="B69" t="s">
        <v>220</v>
      </c>
    </row>
    <row r="70" spans="1:2" x14ac:dyDescent="0.3">
      <c r="A70" t="s">
        <v>90</v>
      </c>
      <c r="B70" t="s">
        <v>221</v>
      </c>
    </row>
    <row r="71" spans="1:2" x14ac:dyDescent="0.3">
      <c r="A71" t="s">
        <v>91</v>
      </c>
      <c r="B71" t="s">
        <v>222</v>
      </c>
    </row>
    <row r="72" spans="1:2" x14ac:dyDescent="0.3">
      <c r="A72" t="s">
        <v>92</v>
      </c>
      <c r="B72" t="s">
        <v>223</v>
      </c>
    </row>
    <row r="73" spans="1:2" x14ac:dyDescent="0.3">
      <c r="A73" t="s">
        <v>93</v>
      </c>
      <c r="B73" t="s">
        <v>224</v>
      </c>
    </row>
    <row r="74" spans="1:2" x14ac:dyDescent="0.3">
      <c r="A74" t="s">
        <v>94</v>
      </c>
      <c r="B74" t="s">
        <v>225</v>
      </c>
    </row>
    <row r="75" spans="1:2" x14ac:dyDescent="0.3">
      <c r="A75" t="s">
        <v>95</v>
      </c>
      <c r="B75" t="s">
        <v>226</v>
      </c>
    </row>
    <row r="76" spans="1:2" x14ac:dyDescent="0.3">
      <c r="A76" t="s">
        <v>96</v>
      </c>
      <c r="B76" t="s">
        <v>227</v>
      </c>
    </row>
    <row r="77" spans="1:2" x14ac:dyDescent="0.3">
      <c r="A77" t="s">
        <v>97</v>
      </c>
      <c r="B77" t="s">
        <v>228</v>
      </c>
    </row>
    <row r="78" spans="1:2" x14ac:dyDescent="0.3">
      <c r="A78" t="s">
        <v>98</v>
      </c>
      <c r="B78" t="s">
        <v>229</v>
      </c>
    </row>
    <row r="79" spans="1:2" x14ac:dyDescent="0.3">
      <c r="A79" t="s">
        <v>99</v>
      </c>
      <c r="B79" t="s">
        <v>230</v>
      </c>
    </row>
    <row r="80" spans="1:2" x14ac:dyDescent="0.3">
      <c r="A80" t="s">
        <v>100</v>
      </c>
      <c r="B80" t="s">
        <v>231</v>
      </c>
    </row>
    <row r="81" spans="1:2" x14ac:dyDescent="0.3">
      <c r="A81" t="s">
        <v>101</v>
      </c>
      <c r="B81" t="s">
        <v>232</v>
      </c>
    </row>
    <row r="82" spans="1:2" x14ac:dyDescent="0.3">
      <c r="A82" t="s">
        <v>102</v>
      </c>
      <c r="B82" t="s">
        <v>233</v>
      </c>
    </row>
    <row r="83" spans="1:2" x14ac:dyDescent="0.3">
      <c r="A83" t="s">
        <v>103</v>
      </c>
      <c r="B83" t="s">
        <v>234</v>
      </c>
    </row>
    <row r="84" spans="1:2" x14ac:dyDescent="0.3">
      <c r="A84" t="s">
        <v>104</v>
      </c>
      <c r="B84" t="s">
        <v>235</v>
      </c>
    </row>
    <row r="85" spans="1:2" x14ac:dyDescent="0.3">
      <c r="A85" t="s">
        <v>105</v>
      </c>
      <c r="B85" t="s">
        <v>236</v>
      </c>
    </row>
    <row r="86" spans="1:2" x14ac:dyDescent="0.3">
      <c r="A86" t="s">
        <v>106</v>
      </c>
      <c r="B86" t="s">
        <v>237</v>
      </c>
    </row>
    <row r="87" spans="1:2" x14ac:dyDescent="0.3">
      <c r="A87" t="s">
        <v>107</v>
      </c>
      <c r="B87" t="s">
        <v>238</v>
      </c>
    </row>
    <row r="88" spans="1:2" x14ac:dyDescent="0.3">
      <c r="A88" t="s">
        <v>108</v>
      </c>
      <c r="B88" t="s">
        <v>239</v>
      </c>
    </row>
    <row r="89" spans="1:2" x14ac:dyDescent="0.3">
      <c r="A89" t="s">
        <v>109</v>
      </c>
      <c r="B89" t="s">
        <v>240</v>
      </c>
    </row>
    <row r="90" spans="1:2" x14ac:dyDescent="0.3">
      <c r="A90" t="s">
        <v>110</v>
      </c>
      <c r="B90" t="s">
        <v>241</v>
      </c>
    </row>
    <row r="91" spans="1:2" x14ac:dyDescent="0.3">
      <c r="A91" t="s">
        <v>111</v>
      </c>
      <c r="B91" t="s">
        <v>242</v>
      </c>
    </row>
    <row r="92" spans="1:2" x14ac:dyDescent="0.3">
      <c r="A92" t="s">
        <v>112</v>
      </c>
      <c r="B92" t="s">
        <v>243</v>
      </c>
    </row>
    <row r="93" spans="1:2" x14ac:dyDescent="0.3">
      <c r="A93" t="s">
        <v>113</v>
      </c>
      <c r="B93" t="s">
        <v>244</v>
      </c>
    </row>
    <row r="94" spans="1:2" x14ac:dyDescent="0.3">
      <c r="A94" t="s">
        <v>114</v>
      </c>
      <c r="B94" t="s">
        <v>245</v>
      </c>
    </row>
    <row r="95" spans="1:2" x14ac:dyDescent="0.3">
      <c r="A95" t="s">
        <v>115</v>
      </c>
      <c r="B95" t="s">
        <v>246</v>
      </c>
    </row>
    <row r="96" spans="1:2" x14ac:dyDescent="0.3">
      <c r="A96" t="s">
        <v>116</v>
      </c>
      <c r="B96" t="s">
        <v>247</v>
      </c>
    </row>
    <row r="97" spans="1:2" x14ac:dyDescent="0.3">
      <c r="A97" t="s">
        <v>117</v>
      </c>
      <c r="B97" t="s">
        <v>248</v>
      </c>
    </row>
    <row r="98" spans="1:2" x14ac:dyDescent="0.3">
      <c r="A98" t="s">
        <v>118</v>
      </c>
      <c r="B98" t="s">
        <v>249</v>
      </c>
    </row>
    <row r="99" spans="1:2" x14ac:dyDescent="0.3">
      <c r="A99" t="s">
        <v>119</v>
      </c>
      <c r="B99" t="s">
        <v>250</v>
      </c>
    </row>
    <row r="100" spans="1:2" x14ac:dyDescent="0.3">
      <c r="A100" t="s">
        <v>120</v>
      </c>
      <c r="B100" t="s">
        <v>251</v>
      </c>
    </row>
    <row r="101" spans="1:2" x14ac:dyDescent="0.3">
      <c r="A101" t="s">
        <v>121</v>
      </c>
      <c r="B101" t="s">
        <v>252</v>
      </c>
    </row>
    <row r="102" spans="1:2" x14ac:dyDescent="0.3">
      <c r="A102" t="s">
        <v>122</v>
      </c>
      <c r="B102" t="s">
        <v>253</v>
      </c>
    </row>
    <row r="103" spans="1:2" x14ac:dyDescent="0.3">
      <c r="A103" t="s">
        <v>123</v>
      </c>
      <c r="B103" t="s">
        <v>254</v>
      </c>
    </row>
    <row r="104" spans="1:2" x14ac:dyDescent="0.3">
      <c r="A104" t="s">
        <v>124</v>
      </c>
      <c r="B104" t="s">
        <v>255</v>
      </c>
    </row>
    <row r="105" spans="1:2" x14ac:dyDescent="0.3">
      <c r="A105" t="s">
        <v>125</v>
      </c>
      <c r="B105" t="s">
        <v>256</v>
      </c>
    </row>
    <row r="106" spans="1:2" x14ac:dyDescent="0.3">
      <c r="A106" t="s">
        <v>126</v>
      </c>
      <c r="B106" t="s">
        <v>257</v>
      </c>
    </row>
    <row r="107" spans="1:2" x14ac:dyDescent="0.3">
      <c r="A107" t="s">
        <v>127</v>
      </c>
      <c r="B107" t="s">
        <v>258</v>
      </c>
    </row>
    <row r="108" spans="1:2" x14ac:dyDescent="0.3">
      <c r="A108" t="s">
        <v>128</v>
      </c>
      <c r="B108" t="s">
        <v>259</v>
      </c>
    </row>
    <row r="109" spans="1:2" x14ac:dyDescent="0.3">
      <c r="A109" t="s">
        <v>129</v>
      </c>
      <c r="B109" t="s">
        <v>260</v>
      </c>
    </row>
    <row r="110" spans="1:2" x14ac:dyDescent="0.3">
      <c r="A110" t="s">
        <v>130</v>
      </c>
      <c r="B110" t="s">
        <v>261</v>
      </c>
    </row>
    <row r="111" spans="1:2" x14ac:dyDescent="0.3">
      <c r="A111" t="s">
        <v>131</v>
      </c>
      <c r="B111" t="s">
        <v>262</v>
      </c>
    </row>
    <row r="112" spans="1:2" x14ac:dyDescent="0.3">
      <c r="A112" t="s">
        <v>132</v>
      </c>
      <c r="B112" t="s">
        <v>263</v>
      </c>
    </row>
    <row r="113" spans="1:2" x14ac:dyDescent="0.3">
      <c r="A113" t="s">
        <v>133</v>
      </c>
      <c r="B113" t="s">
        <v>264</v>
      </c>
    </row>
    <row r="114" spans="1:2" x14ac:dyDescent="0.3">
      <c r="A114" t="s">
        <v>134</v>
      </c>
      <c r="B114" t="s">
        <v>265</v>
      </c>
    </row>
    <row r="115" spans="1:2" x14ac:dyDescent="0.3">
      <c r="A115" t="s">
        <v>135</v>
      </c>
      <c r="B115" t="s">
        <v>266</v>
      </c>
    </row>
    <row r="116" spans="1:2" x14ac:dyDescent="0.3">
      <c r="A116" t="s">
        <v>136</v>
      </c>
      <c r="B116" t="s">
        <v>267</v>
      </c>
    </row>
    <row r="117" spans="1:2" x14ac:dyDescent="0.3">
      <c r="A117" t="s">
        <v>137</v>
      </c>
      <c r="B117" t="s">
        <v>268</v>
      </c>
    </row>
    <row r="118" spans="1:2" x14ac:dyDescent="0.3">
      <c r="A118" t="s">
        <v>138</v>
      </c>
      <c r="B118" t="s">
        <v>269</v>
      </c>
    </row>
    <row r="119" spans="1:2" x14ac:dyDescent="0.3">
      <c r="A119" t="s">
        <v>139</v>
      </c>
      <c r="B119" t="s">
        <v>270</v>
      </c>
    </row>
    <row r="120" spans="1:2" x14ac:dyDescent="0.3">
      <c r="A120" t="s">
        <v>140</v>
      </c>
      <c r="B120" t="s">
        <v>271</v>
      </c>
    </row>
    <row r="121" spans="1:2" x14ac:dyDescent="0.3">
      <c r="A121" t="s">
        <v>141</v>
      </c>
      <c r="B121" t="s">
        <v>272</v>
      </c>
    </row>
    <row r="122" spans="1:2" x14ac:dyDescent="0.3">
      <c r="A122" t="s">
        <v>142</v>
      </c>
      <c r="B122" t="s">
        <v>273</v>
      </c>
    </row>
    <row r="123" spans="1:2" x14ac:dyDescent="0.3">
      <c r="A123" t="s">
        <v>143</v>
      </c>
      <c r="B123" t="s">
        <v>274</v>
      </c>
    </row>
    <row r="124" spans="1:2" x14ac:dyDescent="0.3">
      <c r="A124" t="s">
        <v>144</v>
      </c>
      <c r="B124" t="s">
        <v>275</v>
      </c>
    </row>
    <row r="125" spans="1:2" x14ac:dyDescent="0.3">
      <c r="A125" t="s">
        <v>145</v>
      </c>
      <c r="B125" t="s">
        <v>276</v>
      </c>
    </row>
    <row r="126" spans="1:2" x14ac:dyDescent="0.3">
      <c r="A126" t="s">
        <v>146</v>
      </c>
      <c r="B126" t="s">
        <v>277</v>
      </c>
    </row>
    <row r="127" spans="1:2" x14ac:dyDescent="0.3">
      <c r="A127" t="s">
        <v>147</v>
      </c>
      <c r="B127" t="s">
        <v>278</v>
      </c>
    </row>
    <row r="128" spans="1:2" x14ac:dyDescent="0.3">
      <c r="A128" t="s">
        <v>148</v>
      </c>
      <c r="B128" t="s">
        <v>279</v>
      </c>
    </row>
    <row r="129" spans="1:2" x14ac:dyDescent="0.3">
      <c r="A129" t="s">
        <v>149</v>
      </c>
      <c r="B129" t="s">
        <v>280</v>
      </c>
    </row>
    <row r="130" spans="1:2" x14ac:dyDescent="0.3">
      <c r="A130" t="s">
        <v>150</v>
      </c>
      <c r="B130" t="s">
        <v>281</v>
      </c>
    </row>
    <row r="131" spans="1:2" x14ac:dyDescent="0.3">
      <c r="A131" t="s">
        <v>151</v>
      </c>
      <c r="B131" t="s">
        <v>282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EA710-3E2F-4AC0-BBD1-3B763F340C32}">
  <dimension ref="A1:T39"/>
  <sheetViews>
    <sheetView topLeftCell="A9" zoomScaleNormal="100" zoomScalePageLayoutView="60" workbookViewId="0">
      <selection activeCell="G12" sqref="G12"/>
    </sheetView>
  </sheetViews>
  <sheetFormatPr defaultColWidth="11.5546875" defaultRowHeight="13.2" x14ac:dyDescent="0.25"/>
  <cols>
    <col min="1" max="1" width="11.33203125" style="5" bestFit="1" customWidth="1"/>
    <col min="2" max="2" width="12.5546875" style="5" bestFit="1" customWidth="1"/>
    <col min="3" max="3" width="13.33203125" style="5" bestFit="1" customWidth="1"/>
    <col min="4" max="4" width="10.6640625" style="5" customWidth="1"/>
    <col min="5" max="5" width="16.5546875" style="5" bestFit="1" customWidth="1"/>
    <col min="6" max="6" width="11.5546875" style="5" bestFit="1" customWidth="1"/>
    <col min="7" max="7" width="16.33203125" style="5" bestFit="1" customWidth="1"/>
    <col min="8" max="8" width="11.33203125" style="5" bestFit="1" customWidth="1"/>
    <col min="9" max="9" width="16.5546875" style="5" customWidth="1"/>
    <col min="10" max="10" width="14.6640625" style="5" bestFit="1" customWidth="1"/>
    <col min="11" max="11" width="11.88671875" style="5" bestFit="1" customWidth="1"/>
    <col min="12" max="12" width="12.5546875" style="5" customWidth="1"/>
    <col min="13" max="13" width="11" style="5" bestFit="1" customWidth="1"/>
    <col min="14" max="14" width="10.109375" style="5" bestFit="1" customWidth="1"/>
    <col min="15" max="15" width="8" style="5" bestFit="1" customWidth="1"/>
    <col min="16" max="16" width="14.44140625" style="5" bestFit="1" customWidth="1"/>
    <col min="17" max="17" width="11.33203125" style="5" bestFit="1" customWidth="1"/>
    <col min="18" max="18" width="15.5546875" style="5" customWidth="1"/>
    <col min="19" max="19" width="31.109375" style="5" bestFit="1" customWidth="1"/>
    <col min="20" max="20" width="43" style="5" bestFit="1" customWidth="1"/>
    <col min="21" max="16384" width="11.5546875" style="5"/>
  </cols>
  <sheetData>
    <row r="1" spans="1:20" x14ac:dyDescent="0.25">
      <c r="A1" s="5" t="s">
        <v>284</v>
      </c>
      <c r="B1" s="35" t="s">
        <v>311</v>
      </c>
      <c r="C1" s="5" t="s">
        <v>312</v>
      </c>
      <c r="D1" s="5" t="s">
        <v>313</v>
      </c>
      <c r="E1" s="5" t="s">
        <v>314</v>
      </c>
      <c r="F1" s="5" t="s">
        <v>315</v>
      </c>
      <c r="G1" s="5" t="s">
        <v>316</v>
      </c>
      <c r="H1" s="5" t="s">
        <v>317</v>
      </c>
      <c r="I1" s="5" t="s">
        <v>318</v>
      </c>
      <c r="J1" s="5" t="s">
        <v>319</v>
      </c>
      <c r="K1" s="5" t="s">
        <v>320</v>
      </c>
      <c r="L1" s="5" t="s">
        <v>296</v>
      </c>
      <c r="M1" s="5" t="s">
        <v>4</v>
      </c>
      <c r="N1" s="5" t="s">
        <v>321</v>
      </c>
      <c r="O1" s="5" t="s">
        <v>322</v>
      </c>
      <c r="P1" s="5" t="s">
        <v>323</v>
      </c>
      <c r="Q1" s="36" t="s">
        <v>324</v>
      </c>
      <c r="R1" s="5" t="s">
        <v>325</v>
      </c>
      <c r="S1" s="5" t="s">
        <v>287</v>
      </c>
      <c r="T1" s="5" t="s">
        <v>326</v>
      </c>
    </row>
    <row r="2" spans="1:20" ht="14.4" x14ac:dyDescent="0.3">
      <c r="A2" s="26"/>
      <c r="B2" s="27"/>
      <c r="C2" s="28"/>
      <c r="D2" s="29"/>
      <c r="E2" s="30"/>
      <c r="F2" s="31"/>
      <c r="G2" s="32"/>
      <c r="H2" s="40"/>
      <c r="I2" s="27"/>
      <c r="J2" s="34"/>
      <c r="K2" s="27"/>
      <c r="Q2" s="36"/>
    </row>
    <row r="3" spans="1:20" ht="14.4" x14ac:dyDescent="0.3">
      <c r="A3" s="26"/>
      <c r="B3" s="27"/>
      <c r="C3" s="28"/>
      <c r="D3" s="29"/>
      <c r="E3" s="30"/>
      <c r="F3" s="31"/>
      <c r="G3" s="32"/>
      <c r="H3" s="40"/>
      <c r="I3" s="27"/>
      <c r="J3" s="34"/>
      <c r="K3" s="27"/>
      <c r="Q3" s="36"/>
    </row>
    <row r="4" spans="1:20" ht="14.4" x14ac:dyDescent="0.3">
      <c r="A4" s="26"/>
      <c r="B4" s="27"/>
      <c r="C4" s="28"/>
      <c r="D4" s="29"/>
      <c r="E4" s="30"/>
      <c r="F4" s="31"/>
      <c r="G4" s="32"/>
      <c r="H4" s="40"/>
      <c r="I4" s="27"/>
      <c r="J4" s="34"/>
      <c r="K4" s="27"/>
      <c r="Q4" s="36"/>
    </row>
    <row r="5" spans="1:20" ht="14.4" x14ac:dyDescent="0.3">
      <c r="A5" s="26"/>
      <c r="B5" s="27"/>
      <c r="C5" s="28"/>
      <c r="D5" s="29"/>
      <c r="E5" s="30"/>
      <c r="F5" s="31"/>
      <c r="G5" s="32"/>
      <c r="H5" s="40"/>
      <c r="I5" s="27"/>
      <c r="J5" s="34"/>
      <c r="K5" s="27"/>
      <c r="Q5" s="36"/>
    </row>
    <row r="6" spans="1:20" ht="14.4" x14ac:dyDescent="0.3">
      <c r="A6" s="26"/>
      <c r="B6" s="27"/>
      <c r="C6" s="28"/>
      <c r="D6" s="29"/>
      <c r="E6" s="30"/>
      <c r="F6" s="31"/>
      <c r="G6" s="32"/>
      <c r="H6" s="40"/>
      <c r="I6" s="27"/>
      <c r="J6" s="34"/>
      <c r="K6" s="27"/>
      <c r="Q6" s="36"/>
    </row>
    <row r="7" spans="1:20" ht="14.4" x14ac:dyDescent="0.3">
      <c r="A7" s="26"/>
      <c r="B7" s="27"/>
      <c r="C7" s="28"/>
      <c r="D7" s="29"/>
      <c r="E7" s="30"/>
      <c r="F7" s="31"/>
      <c r="G7" s="32"/>
      <c r="H7" s="40"/>
      <c r="I7" s="27"/>
      <c r="J7" s="34"/>
      <c r="K7" s="27"/>
      <c r="Q7" s="36">
        <f>SUM(Q2:Q6)</f>
        <v>0</v>
      </c>
    </row>
    <row r="8" spans="1:20" ht="14.4" x14ac:dyDescent="0.3">
      <c r="A8" s="26"/>
      <c r="B8" s="27"/>
      <c r="C8" s="28"/>
      <c r="D8" s="29"/>
      <c r="E8" s="30"/>
      <c r="F8" s="31"/>
      <c r="G8" s="32"/>
      <c r="H8" s="40"/>
      <c r="I8" s="27"/>
      <c r="J8" s="34"/>
      <c r="K8" s="27"/>
      <c r="Q8" s="36"/>
    </row>
    <row r="9" spans="1:20" ht="14.4" x14ac:dyDescent="0.3">
      <c r="A9" s="26"/>
      <c r="B9" s="27"/>
      <c r="C9" s="28"/>
      <c r="D9" s="29"/>
      <c r="E9" s="30"/>
      <c r="F9" s="31"/>
      <c r="G9" s="32"/>
      <c r="H9" s="40"/>
      <c r="I9" s="27"/>
      <c r="J9" s="34"/>
      <c r="K9" s="27"/>
      <c r="Q9" s="36"/>
    </row>
    <row r="10" spans="1:20" ht="14.4" x14ac:dyDescent="0.3">
      <c r="A10" s="26"/>
      <c r="B10" s="27"/>
      <c r="C10" s="28"/>
      <c r="D10" s="29"/>
      <c r="E10" s="30"/>
      <c r="F10" s="31"/>
      <c r="G10" s="32"/>
      <c r="H10" s="33"/>
      <c r="I10" s="27"/>
      <c r="J10" s="34"/>
      <c r="K10" s="27"/>
    </row>
    <row r="11" spans="1:20" x14ac:dyDescent="0.25">
      <c r="A11" s="5" t="s">
        <v>288</v>
      </c>
      <c r="G11" s="5" t="s">
        <v>327</v>
      </c>
      <c r="H11" s="5" t="s">
        <v>289</v>
      </c>
    </row>
    <row r="12" spans="1:20" x14ac:dyDescent="0.25">
      <c r="F12" s="5">
        <v>101</v>
      </c>
      <c r="G12" s="19">
        <f>SUMIFS($Q$2:$Q$9,$H$2:$H$9,F12)-SUMIFS($R$2:$R$9,$H$2:$H$9,F12)+SUMIFS($P$21:$P$38,$D$21:$D$38,F12)</f>
        <v>264756.28000000003</v>
      </c>
      <c r="H12" s="6">
        <f>SUMIFS(Consolidado!F:F,Consolidado!A:A,RAZAO!F12)</f>
        <v>264756.27999999997</v>
      </c>
      <c r="I12" s="7">
        <f>G12-H12</f>
        <v>0</v>
      </c>
      <c r="J12" s="46"/>
    </row>
    <row r="13" spans="1:20" x14ac:dyDescent="0.25">
      <c r="F13" s="5">
        <v>104</v>
      </c>
      <c r="G13" s="19">
        <f>SUMIFS($Q$2:$Q$9,$H$2:$H$9,F13)-SUMIFS($R$2:$R$9,$H$2:$H$9,F13)+SUMIFS($P$21:$P$38,$D$21:$D$38,F13)</f>
        <v>2513.52</v>
      </c>
      <c r="H13" s="6">
        <f>SUMIFS(Consolidado!F:F,Consolidado!A:A,RAZAO!F13)</f>
        <v>2513.52</v>
      </c>
      <c r="I13" s="7">
        <f t="shared" ref="I13:I14" si="0">G13-H13</f>
        <v>0</v>
      </c>
    </row>
    <row r="14" spans="1:20" ht="14.4" x14ac:dyDescent="0.3">
      <c r="F14" s="5">
        <v>106</v>
      </c>
      <c r="G14" s="19">
        <f>SUMIFS($Q$2:$Q$9,$H$2:$H$9,F14)-SUMIFS($R$2:$R$9,$H$2:$H$9,F14)+SUMIFS($P$21:$P$38,$D$21:$D$38,F14)</f>
        <v>24024.3</v>
      </c>
      <c r="H14" s="6">
        <f>SUMIFS(Consolidado!F:F,Consolidado!A:A,RAZAO!F14)</f>
        <v>24024.300000000003</v>
      </c>
      <c r="I14" s="7">
        <f t="shared" si="0"/>
        <v>0</v>
      </c>
      <c r="K14" s="37"/>
      <c r="L14"/>
    </row>
    <row r="20" spans="1:20" x14ac:dyDescent="0.25">
      <c r="A20" s="44" t="s">
        <v>290</v>
      </c>
      <c r="B20" s="44" t="s">
        <v>291</v>
      </c>
      <c r="C20" s="44" t="s">
        <v>292</v>
      </c>
      <c r="D20" s="44" t="s">
        <v>285</v>
      </c>
      <c r="E20" s="8" t="s">
        <v>293</v>
      </c>
      <c r="F20" s="44" t="s">
        <v>294</v>
      </c>
      <c r="G20" s="44" t="s">
        <v>295</v>
      </c>
      <c r="H20" s="44" t="s">
        <v>296</v>
      </c>
      <c r="I20" s="44" t="s">
        <v>297</v>
      </c>
      <c r="J20" s="44" t="s">
        <v>298</v>
      </c>
      <c r="K20" s="9" t="s">
        <v>299</v>
      </c>
      <c r="L20" s="44" t="s">
        <v>300</v>
      </c>
      <c r="M20" s="10" t="s">
        <v>301</v>
      </c>
      <c r="N20" s="11" t="s">
        <v>302</v>
      </c>
      <c r="O20" s="44" t="s">
        <v>303</v>
      </c>
      <c r="P20" s="12" t="s">
        <v>304</v>
      </c>
      <c r="Q20" s="12" t="s">
        <v>286</v>
      </c>
      <c r="R20" s="44" t="s">
        <v>305</v>
      </c>
      <c r="S20" s="44" t="s">
        <v>306</v>
      </c>
      <c r="T20" s="44" t="s">
        <v>307</v>
      </c>
    </row>
    <row r="21" spans="1:20" ht="14.4" x14ac:dyDescent="0.3">
      <c r="A21" s="45" t="s">
        <v>373</v>
      </c>
      <c r="B21" s="45"/>
      <c r="C21" s="45" t="s">
        <v>374</v>
      </c>
      <c r="D21" s="45" t="s">
        <v>375</v>
      </c>
      <c r="E21" s="13">
        <v>46245</v>
      </c>
      <c r="F21" s="45" t="s">
        <v>376</v>
      </c>
      <c r="G21" s="45" t="s">
        <v>377</v>
      </c>
      <c r="H21" s="45" t="s">
        <v>374</v>
      </c>
      <c r="I21" s="45" t="s">
        <v>411</v>
      </c>
      <c r="J21" s="45" t="s">
        <v>378</v>
      </c>
      <c r="K21" s="14" t="s">
        <v>379</v>
      </c>
      <c r="L21" s="45" t="s">
        <v>380</v>
      </c>
      <c r="M21" s="15" t="s">
        <v>381</v>
      </c>
      <c r="N21" s="16">
        <v>1</v>
      </c>
      <c r="O21" s="45"/>
      <c r="P21" s="17">
        <v>5501.2</v>
      </c>
      <c r="Q21" s="17">
        <v>0</v>
      </c>
      <c r="R21" s="45" t="s">
        <v>429</v>
      </c>
      <c r="S21" s="45" t="s">
        <v>382</v>
      </c>
      <c r="T21" s="45" t="s">
        <v>383</v>
      </c>
    </row>
    <row r="22" spans="1:20" ht="14.4" x14ac:dyDescent="0.3">
      <c r="A22" s="45" t="s">
        <v>373</v>
      </c>
      <c r="B22" s="45"/>
      <c r="C22" s="45" t="s">
        <v>374</v>
      </c>
      <c r="D22" s="45" t="s">
        <v>375</v>
      </c>
      <c r="E22" s="13">
        <v>46246</v>
      </c>
      <c r="F22" s="45" t="s">
        <v>376</v>
      </c>
      <c r="G22" s="45" t="s">
        <v>377</v>
      </c>
      <c r="H22" s="45" t="s">
        <v>384</v>
      </c>
      <c r="I22" s="45" t="s">
        <v>412</v>
      </c>
      <c r="J22" s="45" t="s">
        <v>389</v>
      </c>
      <c r="K22" s="14" t="s">
        <v>379</v>
      </c>
      <c r="L22" s="45" t="s">
        <v>386</v>
      </c>
      <c r="M22" s="15" t="s">
        <v>381</v>
      </c>
      <c r="N22" s="16">
        <v>1</v>
      </c>
      <c r="O22" s="45"/>
      <c r="P22" s="17">
        <v>3099.15</v>
      </c>
      <c r="Q22" s="17">
        <v>0</v>
      </c>
      <c r="R22" s="45" t="s">
        <v>430</v>
      </c>
      <c r="S22" s="45" t="s">
        <v>382</v>
      </c>
      <c r="T22" s="45" t="s">
        <v>390</v>
      </c>
    </row>
    <row r="23" spans="1:20" ht="14.4" x14ac:dyDescent="0.3">
      <c r="A23" s="45" t="s">
        <v>373</v>
      </c>
      <c r="B23" s="45"/>
      <c r="C23" s="45" t="s">
        <v>374</v>
      </c>
      <c r="D23" s="45" t="s">
        <v>375</v>
      </c>
      <c r="E23" s="13">
        <v>46247</v>
      </c>
      <c r="F23" s="45" t="s">
        <v>376</v>
      </c>
      <c r="G23" s="45" t="s">
        <v>377</v>
      </c>
      <c r="H23" s="45" t="s">
        <v>391</v>
      </c>
      <c r="I23" s="45" t="s">
        <v>413</v>
      </c>
      <c r="J23" s="45" t="s">
        <v>392</v>
      </c>
      <c r="K23" s="14" t="s">
        <v>379</v>
      </c>
      <c r="L23" s="45" t="s">
        <v>386</v>
      </c>
      <c r="M23" s="15" t="s">
        <v>381</v>
      </c>
      <c r="N23" s="16">
        <v>1</v>
      </c>
      <c r="O23" s="45"/>
      <c r="P23" s="17">
        <v>76224.17</v>
      </c>
      <c r="Q23" s="17">
        <v>0</v>
      </c>
      <c r="R23" s="45" t="s">
        <v>431</v>
      </c>
      <c r="S23" s="45" t="s">
        <v>387</v>
      </c>
      <c r="T23" s="45" t="s">
        <v>393</v>
      </c>
    </row>
    <row r="24" spans="1:20" ht="14.4" x14ac:dyDescent="0.3">
      <c r="A24" s="45" t="s">
        <v>373</v>
      </c>
      <c r="B24" s="45"/>
      <c r="C24" s="45" t="s">
        <v>374</v>
      </c>
      <c r="D24" s="45" t="s">
        <v>375</v>
      </c>
      <c r="E24" s="13">
        <v>46247</v>
      </c>
      <c r="F24" s="45" t="s">
        <v>376</v>
      </c>
      <c r="G24" s="45" t="s">
        <v>377</v>
      </c>
      <c r="H24" s="45" t="s">
        <v>391</v>
      </c>
      <c r="I24" s="45" t="s">
        <v>414</v>
      </c>
      <c r="J24" s="45" t="s">
        <v>392</v>
      </c>
      <c r="K24" s="14" t="s">
        <v>379</v>
      </c>
      <c r="L24" s="45" t="s">
        <v>386</v>
      </c>
      <c r="M24" s="15" t="s">
        <v>381</v>
      </c>
      <c r="N24" s="16">
        <v>1</v>
      </c>
      <c r="O24" s="45"/>
      <c r="P24" s="17">
        <v>24426.27</v>
      </c>
      <c r="Q24" s="17">
        <v>0</v>
      </c>
      <c r="R24" s="45" t="s">
        <v>432</v>
      </c>
      <c r="S24" s="45" t="s">
        <v>387</v>
      </c>
      <c r="T24" s="45" t="s">
        <v>393</v>
      </c>
    </row>
    <row r="25" spans="1:20" ht="14.4" x14ac:dyDescent="0.3">
      <c r="A25" s="45" t="s">
        <v>373</v>
      </c>
      <c r="B25" s="45"/>
      <c r="C25" s="45" t="s">
        <v>374</v>
      </c>
      <c r="D25" s="45" t="s">
        <v>375</v>
      </c>
      <c r="E25" s="13">
        <v>46247</v>
      </c>
      <c r="F25" s="45" t="s">
        <v>376</v>
      </c>
      <c r="G25" s="45" t="s">
        <v>377</v>
      </c>
      <c r="H25" s="45" t="s">
        <v>391</v>
      </c>
      <c r="I25" s="45" t="s">
        <v>415</v>
      </c>
      <c r="J25" s="45" t="s">
        <v>392</v>
      </c>
      <c r="K25" s="14" t="s">
        <v>379</v>
      </c>
      <c r="L25" s="45" t="s">
        <v>386</v>
      </c>
      <c r="M25" s="15" t="s">
        <v>381</v>
      </c>
      <c r="N25" s="16">
        <v>1</v>
      </c>
      <c r="O25" s="45"/>
      <c r="P25" s="17">
        <v>5393.26</v>
      </c>
      <c r="Q25" s="17">
        <v>0</v>
      </c>
      <c r="R25" s="45" t="s">
        <v>433</v>
      </c>
      <c r="S25" s="45" t="s">
        <v>387</v>
      </c>
      <c r="T25" s="45" t="s">
        <v>393</v>
      </c>
    </row>
    <row r="26" spans="1:20" ht="14.4" x14ac:dyDescent="0.3">
      <c r="A26" s="45" t="s">
        <v>373</v>
      </c>
      <c r="B26" s="45"/>
      <c r="C26" s="45" t="s">
        <v>374</v>
      </c>
      <c r="D26" s="45" t="s">
        <v>375</v>
      </c>
      <c r="E26" s="13">
        <v>46247</v>
      </c>
      <c r="F26" s="45" t="s">
        <v>376</v>
      </c>
      <c r="G26" s="45" t="s">
        <v>377</v>
      </c>
      <c r="H26" s="45" t="s">
        <v>391</v>
      </c>
      <c r="I26" s="45" t="s">
        <v>416</v>
      </c>
      <c r="J26" s="45" t="s">
        <v>392</v>
      </c>
      <c r="K26" s="14" t="s">
        <v>379</v>
      </c>
      <c r="L26" s="45" t="s">
        <v>386</v>
      </c>
      <c r="M26" s="15" t="s">
        <v>381</v>
      </c>
      <c r="N26" s="16">
        <v>1</v>
      </c>
      <c r="O26" s="45"/>
      <c r="P26" s="17">
        <v>4868.28</v>
      </c>
      <c r="Q26" s="17">
        <v>0</v>
      </c>
      <c r="R26" s="45" t="s">
        <v>434</v>
      </c>
      <c r="S26" s="45" t="s">
        <v>387</v>
      </c>
      <c r="T26" s="45" t="s">
        <v>393</v>
      </c>
    </row>
    <row r="27" spans="1:20" ht="14.4" x14ac:dyDescent="0.3">
      <c r="A27" s="45" t="s">
        <v>373</v>
      </c>
      <c r="B27" s="45"/>
      <c r="C27" s="45" t="s">
        <v>374</v>
      </c>
      <c r="D27" s="45" t="s">
        <v>375</v>
      </c>
      <c r="E27" s="13">
        <v>46247</v>
      </c>
      <c r="F27" s="45" t="s">
        <v>376</v>
      </c>
      <c r="G27" s="45" t="s">
        <v>377</v>
      </c>
      <c r="H27" s="45" t="s">
        <v>391</v>
      </c>
      <c r="I27" s="45" t="s">
        <v>417</v>
      </c>
      <c r="J27" s="45" t="s">
        <v>394</v>
      </c>
      <c r="K27" s="14" t="s">
        <v>379</v>
      </c>
      <c r="L27" s="45" t="s">
        <v>386</v>
      </c>
      <c r="M27" s="15" t="s">
        <v>381</v>
      </c>
      <c r="N27" s="16">
        <v>1</v>
      </c>
      <c r="O27" s="45"/>
      <c r="P27" s="17">
        <v>15015.12</v>
      </c>
      <c r="Q27" s="17">
        <v>0</v>
      </c>
      <c r="R27" s="45" t="s">
        <v>435</v>
      </c>
      <c r="S27" s="45" t="s">
        <v>387</v>
      </c>
      <c r="T27" s="45" t="s">
        <v>395</v>
      </c>
    </row>
    <row r="28" spans="1:20" s="38" customFormat="1" ht="14.4" x14ac:dyDescent="0.3">
      <c r="A28" s="45" t="s">
        <v>373</v>
      </c>
      <c r="B28" s="45"/>
      <c r="C28" s="45" t="s">
        <v>374</v>
      </c>
      <c r="D28" s="45" t="s">
        <v>375</v>
      </c>
      <c r="E28" s="13">
        <v>46247</v>
      </c>
      <c r="F28" s="45" t="s">
        <v>376</v>
      </c>
      <c r="G28" s="45" t="s">
        <v>377</v>
      </c>
      <c r="H28" s="45" t="s">
        <v>391</v>
      </c>
      <c r="I28" s="45" t="s">
        <v>418</v>
      </c>
      <c r="J28" s="45" t="s">
        <v>394</v>
      </c>
      <c r="K28" s="14" t="s">
        <v>379</v>
      </c>
      <c r="L28" s="45" t="s">
        <v>386</v>
      </c>
      <c r="M28" s="15" t="s">
        <v>381</v>
      </c>
      <c r="N28" s="16">
        <v>1</v>
      </c>
      <c r="O28" s="45"/>
      <c r="P28" s="17">
        <v>12512.6</v>
      </c>
      <c r="Q28" s="17">
        <v>0</v>
      </c>
      <c r="R28" s="45" t="s">
        <v>436</v>
      </c>
      <c r="S28" s="45" t="s">
        <v>387</v>
      </c>
      <c r="T28" s="45" t="s">
        <v>395</v>
      </c>
    </row>
    <row r="29" spans="1:20" s="38" customFormat="1" ht="14.4" x14ac:dyDescent="0.3">
      <c r="A29" s="45" t="s">
        <v>373</v>
      </c>
      <c r="B29" s="45"/>
      <c r="C29" s="45" t="s">
        <v>374</v>
      </c>
      <c r="D29" s="45" t="s">
        <v>375</v>
      </c>
      <c r="E29" s="13">
        <v>46247</v>
      </c>
      <c r="F29" s="45" t="s">
        <v>376</v>
      </c>
      <c r="G29" s="45" t="s">
        <v>377</v>
      </c>
      <c r="H29" s="45" t="s">
        <v>391</v>
      </c>
      <c r="I29" s="45" t="s">
        <v>419</v>
      </c>
      <c r="J29" s="45" t="s">
        <v>394</v>
      </c>
      <c r="K29" s="14" t="s">
        <v>379</v>
      </c>
      <c r="L29" s="45" t="s">
        <v>386</v>
      </c>
      <c r="M29" s="15" t="s">
        <v>381</v>
      </c>
      <c r="N29" s="16">
        <v>1</v>
      </c>
      <c r="O29" s="45"/>
      <c r="P29" s="17">
        <v>412.85</v>
      </c>
      <c r="Q29" s="17">
        <v>0</v>
      </c>
      <c r="R29" s="45" t="s">
        <v>437</v>
      </c>
      <c r="S29" s="45" t="s">
        <v>387</v>
      </c>
      <c r="T29" s="45" t="s">
        <v>395</v>
      </c>
    </row>
    <row r="30" spans="1:20" s="38" customFormat="1" ht="14.4" x14ac:dyDescent="0.3">
      <c r="A30" s="45" t="s">
        <v>373</v>
      </c>
      <c r="B30" s="45"/>
      <c r="C30" s="45" t="s">
        <v>374</v>
      </c>
      <c r="D30" s="45" t="s">
        <v>375</v>
      </c>
      <c r="E30" s="13">
        <v>46247</v>
      </c>
      <c r="F30" s="45" t="s">
        <v>376</v>
      </c>
      <c r="G30" s="45" t="s">
        <v>377</v>
      </c>
      <c r="H30" s="45" t="s">
        <v>391</v>
      </c>
      <c r="I30" s="45" t="s">
        <v>420</v>
      </c>
      <c r="J30" s="45" t="s">
        <v>394</v>
      </c>
      <c r="K30" s="14" t="s">
        <v>379</v>
      </c>
      <c r="L30" s="45" t="s">
        <v>386</v>
      </c>
      <c r="M30" s="15" t="s">
        <v>381</v>
      </c>
      <c r="N30" s="16">
        <v>1</v>
      </c>
      <c r="O30" s="45"/>
      <c r="P30" s="17">
        <v>87028.96</v>
      </c>
      <c r="Q30" s="17">
        <v>0</v>
      </c>
      <c r="R30" s="45" t="s">
        <v>438</v>
      </c>
      <c r="S30" s="45" t="s">
        <v>387</v>
      </c>
      <c r="T30" s="45" t="s">
        <v>395</v>
      </c>
    </row>
    <row r="31" spans="1:20" s="38" customFormat="1" ht="14.4" x14ac:dyDescent="0.3">
      <c r="A31" s="45" t="s">
        <v>373</v>
      </c>
      <c r="B31" s="45"/>
      <c r="C31" s="45" t="s">
        <v>374</v>
      </c>
      <c r="D31" s="45" t="s">
        <v>375</v>
      </c>
      <c r="E31" s="13">
        <v>46247</v>
      </c>
      <c r="F31" s="45" t="s">
        <v>376</v>
      </c>
      <c r="G31" s="45" t="s">
        <v>377</v>
      </c>
      <c r="H31" s="45" t="s">
        <v>391</v>
      </c>
      <c r="I31" s="45" t="s">
        <v>421</v>
      </c>
      <c r="J31" s="45" t="s">
        <v>394</v>
      </c>
      <c r="K31" s="14" t="s">
        <v>379</v>
      </c>
      <c r="L31" s="45" t="s">
        <v>386</v>
      </c>
      <c r="M31" s="15" t="s">
        <v>381</v>
      </c>
      <c r="N31" s="16">
        <v>1</v>
      </c>
      <c r="O31" s="45"/>
      <c r="P31" s="17">
        <v>25025.200000000001</v>
      </c>
      <c r="Q31" s="17">
        <v>0</v>
      </c>
      <c r="R31" s="45" t="s">
        <v>439</v>
      </c>
      <c r="S31" s="45" t="s">
        <v>387</v>
      </c>
      <c r="T31" s="45" t="s">
        <v>395</v>
      </c>
    </row>
    <row r="32" spans="1:20" s="38" customFormat="1" ht="14.4" x14ac:dyDescent="0.3">
      <c r="A32" s="45" t="s">
        <v>373</v>
      </c>
      <c r="B32" s="45"/>
      <c r="C32" s="45" t="s">
        <v>374</v>
      </c>
      <c r="D32" s="45" t="s">
        <v>375</v>
      </c>
      <c r="E32" s="13">
        <v>46254</v>
      </c>
      <c r="F32" s="45" t="s">
        <v>376</v>
      </c>
      <c r="G32" s="45" t="s">
        <v>377</v>
      </c>
      <c r="H32" s="45" t="s">
        <v>374</v>
      </c>
      <c r="I32" s="45" t="s">
        <v>422</v>
      </c>
      <c r="J32" s="45" t="s">
        <v>385</v>
      </c>
      <c r="K32" s="14" t="s">
        <v>379</v>
      </c>
      <c r="L32" s="45" t="s">
        <v>380</v>
      </c>
      <c r="M32" s="15" t="s">
        <v>381</v>
      </c>
      <c r="N32" s="16">
        <v>1</v>
      </c>
      <c r="O32" s="45"/>
      <c r="P32" s="17">
        <v>5249.22</v>
      </c>
      <c r="Q32" s="17">
        <v>0</v>
      </c>
      <c r="R32" s="45" t="s">
        <v>440</v>
      </c>
      <c r="S32" s="45" t="s">
        <v>387</v>
      </c>
      <c r="T32" s="45" t="s">
        <v>388</v>
      </c>
    </row>
    <row r="33" spans="1:20" ht="14.4" x14ac:dyDescent="0.3">
      <c r="A33" s="45" t="s">
        <v>373</v>
      </c>
      <c r="B33" s="45"/>
      <c r="C33" s="45" t="s">
        <v>374</v>
      </c>
      <c r="D33" s="45" t="s">
        <v>396</v>
      </c>
      <c r="E33" s="13">
        <v>46245</v>
      </c>
      <c r="F33" s="45" t="s">
        <v>376</v>
      </c>
      <c r="G33" s="45" t="s">
        <v>377</v>
      </c>
      <c r="H33" s="45" t="s">
        <v>384</v>
      </c>
      <c r="I33" s="45" t="s">
        <v>423</v>
      </c>
      <c r="J33" s="45" t="s">
        <v>389</v>
      </c>
      <c r="K33" s="14" t="s">
        <v>379</v>
      </c>
      <c r="L33" s="45" t="s">
        <v>386</v>
      </c>
      <c r="M33" s="15" t="s">
        <v>381</v>
      </c>
      <c r="N33" s="16">
        <v>1</v>
      </c>
      <c r="O33" s="45"/>
      <c r="P33" s="17">
        <v>112.18</v>
      </c>
      <c r="Q33" s="17">
        <v>0</v>
      </c>
      <c r="R33" s="45" t="s">
        <v>441</v>
      </c>
      <c r="S33" s="45" t="s">
        <v>382</v>
      </c>
      <c r="T33" s="45" t="s">
        <v>390</v>
      </c>
    </row>
    <row r="34" spans="1:20" ht="14.4" x14ac:dyDescent="0.3">
      <c r="A34" s="45" t="s">
        <v>373</v>
      </c>
      <c r="B34" s="45"/>
      <c r="C34" s="45" t="s">
        <v>374</v>
      </c>
      <c r="D34" s="45" t="s">
        <v>396</v>
      </c>
      <c r="E34" s="13">
        <v>46247</v>
      </c>
      <c r="F34" s="45" t="s">
        <v>376</v>
      </c>
      <c r="G34" s="45" t="s">
        <v>377</v>
      </c>
      <c r="H34" s="45" t="s">
        <v>374</v>
      </c>
      <c r="I34" s="45" t="s">
        <v>424</v>
      </c>
      <c r="J34" s="45" t="s">
        <v>397</v>
      </c>
      <c r="K34" s="14" t="s">
        <v>379</v>
      </c>
      <c r="L34" s="45" t="s">
        <v>380</v>
      </c>
      <c r="M34" s="15" t="s">
        <v>381</v>
      </c>
      <c r="N34" s="16">
        <v>1</v>
      </c>
      <c r="O34" s="45"/>
      <c r="P34" s="17">
        <v>1725.98</v>
      </c>
      <c r="Q34" s="17">
        <v>0</v>
      </c>
      <c r="R34" s="45" t="s">
        <v>442</v>
      </c>
      <c r="S34" s="45" t="s">
        <v>382</v>
      </c>
      <c r="T34" s="45" t="s">
        <v>398</v>
      </c>
    </row>
    <row r="35" spans="1:20" ht="14.4" x14ac:dyDescent="0.3">
      <c r="A35" s="45" t="s">
        <v>373</v>
      </c>
      <c r="B35" s="45"/>
      <c r="C35" s="45" t="s">
        <v>374</v>
      </c>
      <c r="D35" s="45" t="s">
        <v>396</v>
      </c>
      <c r="E35" s="13">
        <v>46247</v>
      </c>
      <c r="F35" s="45" t="s">
        <v>376</v>
      </c>
      <c r="G35" s="45" t="s">
        <v>377</v>
      </c>
      <c r="H35" s="45" t="s">
        <v>374</v>
      </c>
      <c r="I35" s="45" t="s">
        <v>425</v>
      </c>
      <c r="J35" s="45" t="s">
        <v>385</v>
      </c>
      <c r="K35" s="14" t="s">
        <v>379</v>
      </c>
      <c r="L35" s="45" t="s">
        <v>380</v>
      </c>
      <c r="M35" s="15" t="s">
        <v>381</v>
      </c>
      <c r="N35" s="16">
        <v>1</v>
      </c>
      <c r="O35" s="45"/>
      <c r="P35" s="17">
        <v>675.36</v>
      </c>
      <c r="Q35" s="17">
        <v>0</v>
      </c>
      <c r="R35" s="45" t="s">
        <v>443</v>
      </c>
      <c r="S35" s="45" t="s">
        <v>387</v>
      </c>
      <c r="T35" s="45" t="s">
        <v>388</v>
      </c>
    </row>
    <row r="36" spans="1:20" s="38" customFormat="1" ht="14.4" x14ac:dyDescent="0.3">
      <c r="A36" s="45" t="s">
        <v>373</v>
      </c>
      <c r="B36" s="45"/>
      <c r="C36" s="45" t="s">
        <v>374</v>
      </c>
      <c r="D36" s="45" t="s">
        <v>399</v>
      </c>
      <c r="E36" s="13">
        <v>46245</v>
      </c>
      <c r="F36" s="45" t="s">
        <v>376</v>
      </c>
      <c r="G36" s="45" t="s">
        <v>377</v>
      </c>
      <c r="H36" s="45" t="s">
        <v>384</v>
      </c>
      <c r="I36" s="45" t="s">
        <v>426</v>
      </c>
      <c r="J36" s="45" t="s">
        <v>389</v>
      </c>
      <c r="K36" s="14" t="s">
        <v>379</v>
      </c>
      <c r="L36" s="45" t="s">
        <v>386</v>
      </c>
      <c r="M36" s="15" t="s">
        <v>381</v>
      </c>
      <c r="N36" s="16">
        <v>1</v>
      </c>
      <c r="O36" s="45"/>
      <c r="P36" s="17">
        <v>1732.39</v>
      </c>
      <c r="Q36" s="17">
        <v>0</v>
      </c>
      <c r="R36" s="45" t="s">
        <v>444</v>
      </c>
      <c r="S36" s="45" t="s">
        <v>382</v>
      </c>
      <c r="T36" s="45" t="s">
        <v>390</v>
      </c>
    </row>
    <row r="37" spans="1:20" ht="14.4" x14ac:dyDescent="0.3">
      <c r="A37" s="45" t="s">
        <v>373</v>
      </c>
      <c r="B37" s="45"/>
      <c r="C37" s="45" t="s">
        <v>374</v>
      </c>
      <c r="D37" s="45" t="s">
        <v>399</v>
      </c>
      <c r="E37" s="13">
        <v>46247</v>
      </c>
      <c r="F37" s="45" t="s">
        <v>376</v>
      </c>
      <c r="G37" s="45" t="s">
        <v>377</v>
      </c>
      <c r="H37" s="45" t="s">
        <v>374</v>
      </c>
      <c r="I37" s="45" t="s">
        <v>427</v>
      </c>
      <c r="J37" s="45" t="s">
        <v>397</v>
      </c>
      <c r="K37" s="14" t="s">
        <v>379</v>
      </c>
      <c r="L37" s="45" t="s">
        <v>380</v>
      </c>
      <c r="M37" s="15" t="s">
        <v>381</v>
      </c>
      <c r="N37" s="16">
        <v>1</v>
      </c>
      <c r="O37" s="45"/>
      <c r="P37" s="17">
        <v>21648.71</v>
      </c>
      <c r="Q37" s="17">
        <v>0</v>
      </c>
      <c r="R37" s="45" t="s">
        <v>445</v>
      </c>
      <c r="S37" s="45" t="s">
        <v>382</v>
      </c>
      <c r="T37" s="45" t="s">
        <v>398</v>
      </c>
    </row>
    <row r="38" spans="1:20" ht="14.4" x14ac:dyDescent="0.3">
      <c r="A38" s="45" t="s">
        <v>373</v>
      </c>
      <c r="B38" s="45"/>
      <c r="C38" s="45" t="s">
        <v>374</v>
      </c>
      <c r="D38" s="45" t="s">
        <v>399</v>
      </c>
      <c r="E38" s="13">
        <v>46247</v>
      </c>
      <c r="F38" s="45" t="s">
        <v>376</v>
      </c>
      <c r="G38" s="45" t="s">
        <v>377</v>
      </c>
      <c r="H38" s="45" t="s">
        <v>374</v>
      </c>
      <c r="I38" s="45" t="s">
        <v>428</v>
      </c>
      <c r="J38" s="45" t="s">
        <v>385</v>
      </c>
      <c r="K38" s="14" t="s">
        <v>379</v>
      </c>
      <c r="L38" s="45" t="s">
        <v>380</v>
      </c>
      <c r="M38" s="15" t="s">
        <v>381</v>
      </c>
      <c r="N38" s="16">
        <v>1</v>
      </c>
      <c r="O38" s="45"/>
      <c r="P38" s="17">
        <v>643.20000000000005</v>
      </c>
      <c r="Q38" s="17">
        <v>0</v>
      </c>
      <c r="R38" s="45" t="s">
        <v>446</v>
      </c>
      <c r="S38" s="45" t="s">
        <v>387</v>
      </c>
      <c r="T38" s="45" t="s">
        <v>388</v>
      </c>
    </row>
    <row r="39" spans="1:20" ht="14.4" x14ac:dyDescent="0.3">
      <c r="I39"/>
      <c r="J39"/>
      <c r="K39"/>
    </row>
  </sheetData>
  <autoFilter ref="A20:T38" xr:uid="{7F9EA710-3E2F-4AC0-BBD1-3B763F340C32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I12" sqref="I12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PLANO DE SAÚDE</vt:lpstr>
      <vt:lpstr>Consolidado</vt:lpstr>
      <vt:lpstr>SAUDE AGO2026</vt:lpstr>
      <vt:lpstr>SAUDE</vt:lpstr>
      <vt:lpstr>RAZAO</vt:lpstr>
      <vt:lpstr>Plan2</vt:lpstr>
      <vt:lpstr>Plan4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Anderson Esteves</dc:creator>
  <cp:lastModifiedBy>Joeder Florindo da Silva Blanca</cp:lastModifiedBy>
  <cp:lastPrinted>2018-03-29T18:01:49Z</cp:lastPrinted>
  <dcterms:created xsi:type="dcterms:W3CDTF">2018-03-29T17:30:53Z</dcterms:created>
  <dcterms:modified xsi:type="dcterms:W3CDTF">2026-09-05T17:36:16Z</dcterms:modified>
</cp:coreProperties>
</file>